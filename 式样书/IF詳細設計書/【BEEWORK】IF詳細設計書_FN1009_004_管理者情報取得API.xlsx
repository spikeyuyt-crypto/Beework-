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firstSheet="2" activeTab="4"/>
  </bookViews>
  <sheets>
    <sheet name="表紙" sheetId="27" r:id="rId1"/>
    <sheet name="1)カート情報を追加する「」" sheetId="61" state="hidden" r:id="rId2"/>
    <sheet name="改訂履歴" sheetId="76" r:id="rId3"/>
    <sheet name="チェックリスト" sheetId="82" r:id="rId4"/>
    <sheet name="IN.OUTとjson様式" sheetId="78" r:id="rId5"/>
    <sheet name="異常とエラー" sheetId="80" r:id="rId6"/>
    <sheet name="詳細処理仕様" sheetId="79" r:id="rId7"/>
    <sheet name="参考するサービス" sheetId="83" r:id="rId8"/>
    <sheet name="参考するMapper" sheetId="81" r:id="rId9"/>
  </sheets>
  <definedNames>
    <definedName name="_xlnm.Print_Area" localSheetId="1">'1)カート情報を追加する「」'!$A$1:$CO$4</definedName>
    <definedName name="_xlnm.Print_Area" localSheetId="4">IN.OUTとjson様式!$A$1:$BU$70</definedName>
    <definedName name="_xlnm.Print_Area" localSheetId="3">チェックリスト!$A$1:$BV$37</definedName>
    <definedName name="_xlnm.Print_Area" localSheetId="0">表紙!$A$1:$BW$41</definedName>
    <definedName name="_xlnm.Print_Area" localSheetId="8">参考するMapper!$A$1:$BV$42</definedName>
    <definedName name="_xlnm.Print_Area" localSheetId="7">参考するサービス!$A$1:$BV$17</definedName>
    <definedName name="_xlnm.Print_Area" localSheetId="2">改訂履歴!$A$1:$BV$34</definedName>
    <definedName name="_xlnm.Print_Area" localSheetId="6">詳細処理仕様!$A$1:$BV$25</definedName>
    <definedName name="_xlnm.Print_Area" localSheetId="5">異常とエラー!$A$1:$BU$20</definedName>
    <definedName name="_xlnm.Print_Titles" localSheetId="1">'1)カート情報を追加する「」'!$1:$2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<sst xmlns="http://schemas.openxmlformats.org/spreadsheetml/2006/main" count="450" uniqueCount="252">
  <si>
    <t>【BEEWORK】
IF詳細設計書</t>
  </si>
  <si>
    <t>Ver 1.0</t>
  </si>
  <si>
    <t>安信株式会社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</si>
  <si>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</si>
  <si>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</si>
  <si>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</si>
  <si>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</si>
  <si>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</si>
  <si>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</si>
  <si>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</si>
  <si>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</si>
  <si>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</si>
  <si>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</si>
  <si>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</si>
  <si>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</si>
  <si>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</si>
  <si>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</si>
  <si>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</si>
  <si>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</si>
  <si>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</si>
  <si>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</si>
  <si>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</si>
  <si>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</si>
  <si>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</si>
  <si>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</si>
  <si>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</si>
  <si>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</si>
  <si>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</si>
  <si>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</si>
  <si>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</si>
  <si>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</si>
  <si>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</si>
  <si>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</si>
  <si>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</si>
  <si>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</si>
  <si>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</si>
  <si>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</si>
  <si>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IF詳細設計書</t>
  </si>
  <si>
    <t>API倫理名</t>
  </si>
  <si>
    <t>管理者情報取得API</t>
  </si>
  <si>
    <t>APIID</t>
  </si>
  <si>
    <t>FN1009_004</t>
  </si>
  <si>
    <t>作成者</t>
  </si>
  <si>
    <t>作成日</t>
  </si>
  <si>
    <t>API物理名</t>
  </si>
  <si>
    <t>/adminList/getUserInfo</t>
  </si>
  <si>
    <t>HTTPメソッド</t>
  </si>
  <si>
    <t>POST</t>
  </si>
  <si>
    <t>更新者</t>
  </si>
  <si>
    <t>更新日</t>
  </si>
  <si>
    <t>NO.</t>
  </si>
  <si>
    <t>版数</t>
  </si>
  <si>
    <t>更新日付</t>
  </si>
  <si>
    <t>改訂箇所</t>
  </si>
  <si>
    <t>改訂内容</t>
  </si>
  <si>
    <t>改訂理由</t>
  </si>
  <si>
    <t>熊</t>
  </si>
  <si>
    <t>全シート</t>
  </si>
  <si>
    <t>新規作成</t>
  </si>
  <si>
    <t>〇</t>
  </si>
  <si>
    <t>×</t>
  </si>
  <si>
    <t>-</t>
  </si>
  <si>
    <t>チェックリスト</t>
  </si>
  <si>
    <t>No</t>
  </si>
  <si>
    <t>確認箇所</t>
  </si>
  <si>
    <t>確認点</t>
  </si>
  <si>
    <t>確認</t>
  </si>
  <si>
    <t>共通バー</t>
  </si>
  <si>
    <t>APIID、API倫理名は正しいこと</t>
  </si>
  <si>
    <t>API物理名、HTTPメソッドは正しいこと。API一覧.xlsxとは一致すること</t>
  </si>
  <si>
    <t>改訂履歴</t>
  </si>
  <si>
    <t>更新日付と更新日は正しいこと</t>
  </si>
  <si>
    <t>改訂の場合、改訂箇所と改訂内容は記載すること</t>
  </si>
  <si>
    <t>IN.OUTとjson様式</t>
  </si>
  <si>
    <t>リクエストメゾンドは正しいこと</t>
  </si>
  <si>
    <t>swaggerURLは正しい記載すること</t>
  </si>
  <si>
    <t>INとOUTの各モジュールは記載すること</t>
  </si>
  <si>
    <t>モジュールの各項目は正しい記載すること</t>
  </si>
  <si>
    <t>INとOUTのJSON様式は記載すること</t>
  </si>
  <si>
    <t>異常とエラー</t>
  </si>
  <si>
    <t>シート「異常とエラー」が存在します</t>
  </si>
  <si>
    <t>詳細処理仕様</t>
  </si>
  <si>
    <t>コントローラーとメゾンドは正しい記載します</t>
  </si>
  <si>
    <t>概要説明と詳細処理仕様は正しい記載します</t>
  </si>
  <si>
    <t>参考するMapper</t>
  </si>
  <si>
    <t>DBアクセスの場合、シート「参考するMapper」を追加します。</t>
  </si>
  <si>
    <t>MapperId、クエリーId、クエリータイプ、パラメータは正しい記載します</t>
  </si>
  <si>
    <t>クエリー内容は正しい記載します。</t>
  </si>
  <si>
    <t>リクエストメゾンド</t>
  </si>
  <si>
    <t>GET</t>
  </si>
  <si>
    <t>DELETE</t>
  </si>
  <si>
    <t>PUT</t>
  </si>
  <si>
    <t>swaggerURL</t>
  </si>
  <si>
    <t>http://localhost:8088/swagger-ui.html#/admin-list-controller/getUserInfoUsingPOST</t>
  </si>
  <si>
    <t>IN</t>
  </si>
  <si>
    <t>入力パラメータ</t>
  </si>
  <si>
    <t>ー</t>
  </si>
  <si>
    <t>入力名</t>
  </si>
  <si>
    <t>入力論理名</t>
  </si>
  <si>
    <t>タイプ</t>
  </si>
  <si>
    <t>型</t>
  </si>
  <si>
    <t>桁数</t>
  </si>
  <si>
    <t>必須</t>
  </si>
  <si>
    <t>説明</t>
  </si>
  <si>
    <t>リクエストボディ</t>
  </si>
  <si>
    <t>userID</t>
  </si>
  <si>
    <t>ユーザーID</t>
  </si>
  <si>
    <t>半角文字列</t>
  </si>
  <si>
    <t>String</t>
  </si>
  <si>
    <t>数字文字列</t>
  </si>
  <si>
    <t>JSON様式</t>
  </si>
  <si>
    <t>{</t>
  </si>
  <si>
    <t xml:space="preserve">  "userID": "0",</t>
  </si>
  <si>
    <t>}</t>
  </si>
  <si>
    <t>out</t>
  </si>
  <si>
    <t>出力名</t>
  </si>
  <si>
    <t>出力論理名</t>
  </si>
  <si>
    <t>code</t>
  </si>
  <si>
    <t xml:space="preserve">message  </t>
  </si>
  <si>
    <t>出力モジュール</t>
  </si>
  <si>
    <t>A0303Vo</t>
  </si>
  <si>
    <t>authority</t>
  </si>
  <si>
    <t>権限</t>
  </si>
  <si>
    <t>companyId</t>
  </si>
  <si>
    <t>会社ID</t>
  </si>
  <si>
    <t>companyNm</t>
  </si>
  <si>
    <t>会社名</t>
  </si>
  <si>
    <t>全角文字列</t>
  </si>
  <si>
    <t>countryZip</t>
  </si>
  <si>
    <t>郵便番号</t>
  </si>
  <si>
    <t>firstName</t>
  </si>
  <si>
    <t>ユーザー名</t>
  </si>
  <si>
    <t>firstNameKana</t>
  </si>
  <si>
    <t>ユーザー名（かな）</t>
  </si>
  <si>
    <t>lastName</t>
  </si>
  <si>
    <t>ユーザー姓</t>
  </si>
  <si>
    <t>lastNameKana</t>
  </si>
  <si>
    <t>ユーザー姓（かな）</t>
  </si>
  <si>
    <t>photoAddress</t>
  </si>
  <si>
    <t>写真の住所</t>
  </si>
  <si>
    <t>pwd</t>
  </si>
  <si>
    <t>パスワード</t>
  </si>
  <si>
    <t>sex</t>
  </si>
  <si>
    <t>性別</t>
  </si>
  <si>
    <t>userCd</t>
  </si>
  <si>
    <t>ユーザーコード</t>
  </si>
  <si>
    <t>userMail</t>
  </si>
  <si>
    <t>ユーザーメール</t>
  </si>
  <si>
    <t>userStatus</t>
  </si>
  <si>
    <t>ユーザーステータス</t>
  </si>
  <si>
    <t>userTel</t>
  </si>
  <si>
    <t>ユーザー電話番号</t>
  </si>
  <si>
    <t xml:space="preserve">  "code": 200,</t>
  </si>
  <si>
    <t xml:space="preserve">  "message": "操作成功",</t>
  </si>
  <si>
    <t xml:space="preserve">  "data": {</t>
  </si>
  <si>
    <t xml:space="preserve">    "A0303Vo": {</t>
  </si>
  <si>
    <t xml:space="preserve">      "authority": "0",</t>
  </si>
  <si>
    <t xml:space="preserve">      "companyId": "0",</t>
  </si>
  <si>
    <t xml:space="preserve">      "companyNm": "テスト株式会社",</t>
  </si>
  <si>
    <t xml:space="preserve">      "countryZip": "0000000",</t>
  </si>
  <si>
    <t xml:space="preserve">      "firstName": "太郎",</t>
  </si>
  <si>
    <t xml:space="preserve">      "firstNameKana": "タロウ",</t>
  </si>
  <si>
    <t xml:space="preserve">      "lastName": "テスト",</t>
  </si>
  <si>
    <t xml:space="preserve">      "lastNameKana": "テスト",</t>
  </si>
  <si>
    <t xml:space="preserve">      "photoAddress": "string",</t>
  </si>
  <si>
    <t xml:space="preserve">      "pwd": "string",</t>
  </si>
  <si>
    <t xml:space="preserve">      "sex": "0",</t>
  </si>
  <si>
    <t xml:space="preserve">      "userID": "0",</t>
  </si>
  <si>
    <t xml:space="preserve">      "userMail": "test@gmail.com",</t>
  </si>
  <si>
    <t xml:space="preserve">      "userStatus": "0",</t>
  </si>
  <si>
    <t xml:space="preserve">      "userTel": "08000000000"</t>
  </si>
  <si>
    <t xml:space="preserve">    }</t>
  </si>
  <si>
    <t xml:space="preserve">  }</t>
  </si>
  <si>
    <t>200</t>
  </si>
  <si>
    <t>操作成功</t>
  </si>
  <si>
    <t>500</t>
  </si>
  <si>
    <t>操作失敗</t>
  </si>
  <si>
    <t>404</t>
  </si>
  <si>
    <t>パラメータチェック失敗</t>
  </si>
  <si>
    <t xml:space="preserve">  "data": [</t>
  </si>
  <si>
    <t xml:space="preserve">    {</t>
  </si>
  <si>
    <t xml:space="preserve">  ],</t>
  </si>
  <si>
    <t xml:space="preserve">  "message": "操作成功"</t>
  </si>
  <si>
    <t>管理者情報を取得するAPI</t>
  </si>
  <si>
    <t>コントローラー</t>
  </si>
  <si>
    <t>AdminListController</t>
  </si>
  <si>
    <t>メゾンド</t>
  </si>
  <si>
    <t>getUserInfo</t>
  </si>
  <si>
    <t>ユーザー情報取得</t>
  </si>
  <si>
    <t>AdminListService.getUserInfoを利用し、ユーザーIDでユーザー情報を取得する。</t>
  </si>
  <si>
    <t>処理内容はシート「参考するサービス」を参照する。</t>
  </si>
  <si>
    <t>AdminListService.getUserInfoのパラメータ</t>
  </si>
  <si>
    <t>no</t>
  </si>
  <si>
    <t>パラメータ</t>
  </si>
  <si>
    <t>リターン</t>
  </si>
  <si>
    <t>備考</t>
  </si>
  <si>
    <t>Integer</t>
  </si>
  <si>
    <t>更新件数</t>
  </si>
  <si>
    <t>ユーザー情報を返す</t>
  </si>
  <si>
    <t>ユーザー情報をA0303Voに格納して返す。</t>
  </si>
  <si>
    <t>サービス</t>
  </si>
  <si>
    <t>AdminListService</t>
  </si>
  <si>
    <t>UserTblMapper.getUserInfoByUserIDを利用し、ユーザー情報を取得する。</t>
  </si>
  <si>
    <t>処理内容はシート「参考するMapper」を参照する。</t>
  </si>
  <si>
    <t>UserTblMapper.getUserInfoByUserIDのパラメータ</t>
  </si>
  <si>
    <t>select</t>
  </si>
  <si>
    <t>update</t>
  </si>
  <si>
    <t>insert</t>
  </si>
  <si>
    <t>Delete</t>
  </si>
  <si>
    <t>MapperId</t>
  </si>
  <si>
    <t>UserTblMapper</t>
  </si>
  <si>
    <t>クエリーId</t>
  </si>
  <si>
    <t>getUserInfoByUserID</t>
  </si>
  <si>
    <t>クエリータイプ</t>
  </si>
  <si>
    <t>テーブル</t>
  </si>
  <si>
    <t>USER_TBL</t>
  </si>
  <si>
    <t>where条件</t>
  </si>
  <si>
    <t>○</t>
  </si>
  <si>
    <t>OUT</t>
  </si>
  <si>
    <t>UserTblEntity</t>
  </si>
  <si>
    <t>列名</t>
  </si>
  <si>
    <t>物理名</t>
  </si>
  <si>
    <t>USER_ID</t>
  </si>
  <si>
    <t>PWD</t>
  </si>
  <si>
    <t>COMPANY_ID</t>
  </si>
  <si>
    <t>companyID</t>
  </si>
  <si>
    <t>COMPANY_NM</t>
  </si>
  <si>
    <t>AUTHORITY</t>
  </si>
  <si>
    <t>FIRST_NAME_KANA</t>
  </si>
  <si>
    <t>FIRST_NAME</t>
  </si>
  <si>
    <t>LAST_NAME_KANA</t>
  </si>
  <si>
    <t>LAST_NAME</t>
  </si>
  <si>
    <t>SEX</t>
  </si>
  <si>
    <t>COUNTRY_ZIP</t>
  </si>
  <si>
    <t>USER_TEL</t>
  </si>
  <si>
    <t>USER_MAIL</t>
  </si>
  <si>
    <t>PHOTO_ADDRESS</t>
  </si>
  <si>
    <t>USER_STATUS</t>
  </si>
  <si>
    <t>DEL_FLG</t>
  </si>
  <si>
    <t>delFlg</t>
  </si>
  <si>
    <t>CREATE_TIME</t>
  </si>
  <si>
    <t>createTime</t>
  </si>
  <si>
    <t>CREATE_BY</t>
  </si>
  <si>
    <t>createBy</t>
  </si>
  <si>
    <t>UPDATE_TIME</t>
  </si>
  <si>
    <t>updateTime</t>
  </si>
  <si>
    <t>UPDATE_BY</t>
  </si>
  <si>
    <t>updateBy</t>
  </si>
  <si>
    <t>検索条件</t>
  </si>
  <si>
    <t>=</t>
  </si>
  <si>
    <t>'0'</t>
  </si>
  <si>
    <t>'0'（未削除）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</si>
</sst>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yyyy/m/d;@"/>
    <numFmt numFmtId="183" formatCode="0.0"/>
  </numFmts>
  <fonts count="84">
    <font>
      <sz val="9"/>
      <color theme="1"/>
      <name val="ＭＳ ゴシック"/>
      <charset val="128"/>
    </font>
    <font>
      <sz val="9"/>
      <color theme="1"/>
      <name val="Meiryo UI"/>
      <charset val="128"/>
    </font>
    <font>
      <sz val="11"/>
      <color theme="1"/>
      <name val="Meiryo UI"/>
      <charset val="128"/>
    </font>
    <font>
      <b/>
      <sz val="9"/>
      <color theme="1"/>
      <name val="Meiryo UI"/>
      <charset val="128"/>
    </font>
    <font>
      <sz val="9"/>
      <name val="Meiryo UI"/>
      <charset val="128"/>
    </font>
    <font>
      <sz val="9"/>
      <color rgb="FF080808"/>
      <name val="Meiryo UI"/>
      <charset val="128"/>
    </font>
    <font>
      <sz val="9.8"/>
      <color rgb="FF080808"/>
      <name val="Courier New"/>
      <charset val="128"/>
    </font>
    <font>
      <sz val="13.5"/>
      <color rgb="FF000000"/>
      <name val="Courier New"/>
      <charset val="128"/>
    </font>
    <font>
      <u/>
      <sz val="11"/>
      <color rgb="FF800080"/>
      <name val="ＭＳ Ｐゴシック"/>
      <charset val="134"/>
      <scheme val="minor"/>
    </font>
    <font>
      <sz val="9"/>
      <color rgb="FF7030A0"/>
      <name val="Meiryo UI"/>
      <charset val="128"/>
    </font>
    <font>
      <sz val="9"/>
      <color rgb="FFFF0000"/>
      <name val="Meiryo UI"/>
      <charset val="128"/>
    </font>
    <font>
      <b/>
      <sz val="11"/>
      <color theme="1"/>
      <name val="Meiryo UI"/>
      <charset val="128"/>
    </font>
    <font>
      <sz val="11"/>
      <name val="Meiryo UI"/>
      <charset val="128"/>
    </font>
    <font>
      <sz val="11"/>
      <color rgb="FFFF0000"/>
      <name val="Meiryo UI"/>
      <charset val="128"/>
    </font>
    <font>
      <u/>
      <sz val="20"/>
      <color theme="1"/>
      <name val="Meiryo UI"/>
      <charset val="128"/>
    </font>
    <font>
      <sz val="28"/>
      <color theme="1"/>
      <name val="Meiryo UI"/>
      <charset val="128"/>
    </font>
    <font>
      <sz val="22"/>
      <color theme="1"/>
      <name val="Meiryo UI"/>
      <charset val="128"/>
    </font>
    <font>
      <sz val="20"/>
      <color theme="1"/>
      <name val="Meiryo UI"/>
      <charset val="128"/>
    </font>
    <font>
      <sz val="14"/>
      <color theme="1"/>
      <name val="BIZ UDPゴシック"/>
      <charset val="134"/>
    </font>
    <font>
      <u/>
      <sz val="11"/>
      <color rgb="FF0000FF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34"/>
    </font>
    <font>
      <sz val="12"/>
      <name val="ＭＳ ゴシック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theme="10"/>
      <name val="ＭＳ Ｐゴシック"/>
      <charset val="134"/>
    </font>
    <font>
      <u/>
      <sz val="9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35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u/>
      <sz val="11"/>
      <color indexed="12"/>
      <name val="ＭＳ Ｐゴシック"/>
      <charset val="134"/>
    </font>
    <font>
      <sz val="11"/>
      <color indexed="52"/>
      <name val="ＭＳ Ｐゴシック"/>
      <charset val="134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</font>
    <font>
      <sz val="9"/>
      <color theme="1"/>
      <name val="ＭＳ ゴシック"/>
      <charset val="134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34"/>
    </font>
    <font>
      <sz val="10"/>
      <name val="ＭＳ ゴシック"/>
      <charset val="134"/>
    </font>
    <font>
      <sz val="9"/>
      <name val="ＭＳ Ｐゴシック"/>
      <charset val="134"/>
    </font>
    <font>
      <sz val="10"/>
      <color theme="1"/>
      <name val="ＭＳ Ｐゴシック"/>
      <charset val="134"/>
      <scheme val="minor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4"/>
      <name val="ＭＳ Ｐゴシック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i/>
      <sz val="11"/>
      <color indexed="23"/>
      <name val="ＭＳ Ｐゴシック"/>
      <charset val="134"/>
    </font>
    <font>
      <sz val="14"/>
      <name val="ＭＳ 明朝"/>
      <charset val="128"/>
    </font>
  </fonts>
  <fills count="6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367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25" applyNumberFormat="0" applyAlignment="0" applyProtection="0">
      <alignment vertical="center"/>
    </xf>
    <xf numFmtId="0" fontId="28" fillId="12" borderId="26" applyNumberFormat="0" applyAlignment="0" applyProtection="0">
      <alignment vertical="center"/>
    </xf>
    <xf numFmtId="0" fontId="29" fillId="12" borderId="25" applyNumberFormat="0" applyAlignment="0" applyProtection="0">
      <alignment vertical="center"/>
    </xf>
    <xf numFmtId="0" fontId="30" fillId="13" borderId="27" applyNumberFormat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179" fontId="40" fillId="0" borderId="0" applyFill="0" applyBorder="0" applyAlignment="0"/>
    <xf numFmtId="18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2" fillId="0" borderId="0">
      <alignment horizontal="left"/>
    </xf>
    <xf numFmtId="0" fontId="43" fillId="54" borderId="0">
      <alignment horizontal="left" vertical="center" indent="1"/>
    </xf>
    <xf numFmtId="0" fontId="44" fillId="0" borderId="30" applyNumberFormat="0" applyAlignment="0" applyProtection="0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5" fillId="0" borderId="0"/>
    <xf numFmtId="4" fontId="42" fillId="0" borderId="0">
      <alignment horizontal="right"/>
    </xf>
    <xf numFmtId="0" fontId="46" fillId="55" borderId="0">
      <alignment vertical="center"/>
    </xf>
    <xf numFmtId="4" fontId="47" fillId="0" borderId="0">
      <alignment horizontal="right"/>
    </xf>
    <xf numFmtId="0" fontId="48" fillId="0" borderId="0">
      <alignment horizontal="left"/>
    </xf>
    <xf numFmtId="0" fontId="49" fillId="0" borderId="0" applyNumberFormat="0" applyFill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59" borderId="31" applyNumberFormat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45" fillId="0" borderId="0"/>
    <xf numFmtId="0" fontId="4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64" fillId="0" borderId="0">
      <alignment vertical="center"/>
    </xf>
    <xf numFmtId="0" fontId="65" fillId="0" borderId="0">
      <protection locked="0"/>
    </xf>
    <xf numFmtId="0" fontId="64" fillId="0" borderId="0">
      <alignment vertical="center"/>
    </xf>
    <xf numFmtId="0" fontId="45" fillId="0" borderId="0"/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6" fillId="0" borderId="0"/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/>
    <xf numFmtId="0" fontId="69" fillId="0" borderId="0"/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8" fillId="0" borderId="0"/>
    <xf numFmtId="0" fontId="45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>
      <alignment vertical="center"/>
    </xf>
    <xf numFmtId="0" fontId="70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45" fillId="0" borderId="0"/>
    <xf numFmtId="0" fontId="45" fillId="0" borderId="0">
      <alignment vertical="center"/>
    </xf>
    <xf numFmtId="0" fontId="0" fillId="0" borderId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3" fillId="0" borderId="0" applyNumberFormat="0" applyFont="0" applyBorder="0" applyAlignment="0"/>
    <xf numFmtId="38" fontId="4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0" fontId="83" fillId="0" borderId="0"/>
    <xf numFmtId="0" fontId="45" fillId="0" borderId="0" applyNumberFormat="0" applyBorder="0" applyAlignment="0"/>
    <xf numFmtId="0" fontId="45" fillId="0" borderId="0"/>
  </cellStyleXfs>
  <cellXfs count="2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3" xfId="0" applyNumberFormat="1" applyFont="1" applyBorder="1" applyAlignment="1">
      <alignment horizontal="center" vertical="center"/>
    </xf>
    <xf numFmtId="182" fontId="2" fillId="0" borderId="4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5" xfId="0" applyFont="1" applyBorder="1">
      <alignment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3" fillId="5" borderId="8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left" vertical="top"/>
    </xf>
    <xf numFmtId="0" fontId="1" fillId="4" borderId="7" xfId="0" applyFont="1" applyFill="1" applyBorder="1" applyAlignment="1">
      <alignment horizontal="left" vertical="top"/>
    </xf>
    <xf numFmtId="0" fontId="1" fillId="4" borderId="8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top"/>
    </xf>
    <xf numFmtId="0" fontId="3" fillId="6" borderId="4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1" fillId="4" borderId="6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3" fillId="4" borderId="8" xfId="0" applyFont="1" applyFill="1" applyBorder="1" applyAlignment="1">
      <alignment vertical="top"/>
    </xf>
    <xf numFmtId="0" fontId="3" fillId="4" borderId="5" xfId="0" applyFont="1" applyFill="1" applyBorder="1" applyAlignment="1">
      <alignment vertical="top"/>
    </xf>
    <xf numFmtId="0" fontId="3" fillId="4" borderId="0" xfId="0" applyFont="1" applyFill="1" applyBorder="1" applyAlignment="1">
      <alignment vertical="top"/>
    </xf>
    <xf numFmtId="0" fontId="3" fillId="4" borderId="9" xfId="0" applyFont="1" applyFill="1" applyBorder="1" applyAlignment="1">
      <alignment vertical="top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4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4" borderId="0" xfId="0" applyFont="1" applyFill="1" applyAlignment="1">
      <alignment vertical="top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7" borderId="1" xfId="0" applyFont="1" applyFill="1" applyBorder="1" applyAlignment="1">
      <alignment horizontal="left" vertical="top"/>
    </xf>
    <xf numFmtId="0" fontId="1" fillId="4" borderId="6" xfId="0" applyFont="1" applyFill="1" applyBorder="1" applyAlignment="1">
      <alignment vertical="top"/>
    </xf>
    <xf numFmtId="0" fontId="1" fillId="4" borderId="7" xfId="0" applyFont="1" applyFill="1" applyBorder="1" applyAlignment="1">
      <alignment vertical="top"/>
    </xf>
    <xf numFmtId="0" fontId="1" fillId="4" borderId="8" xfId="0" applyFont="1" applyFill="1" applyBorder="1" applyAlignment="1">
      <alignment vertical="top"/>
    </xf>
    <xf numFmtId="0" fontId="1" fillId="4" borderId="5" xfId="0" applyFont="1" applyFill="1" applyBorder="1" applyAlignment="1">
      <alignment vertical="top"/>
    </xf>
    <xf numFmtId="0" fontId="1" fillId="4" borderId="9" xfId="0" applyFont="1" applyFill="1" applyBorder="1" applyAlignment="1">
      <alignment vertical="top"/>
    </xf>
    <xf numFmtId="0" fontId="7" fillId="0" borderId="0" xfId="0" applyFont="1">
      <alignment vertical="center"/>
    </xf>
    <xf numFmtId="0" fontId="1" fillId="0" borderId="9" xfId="0" applyFont="1" applyBorder="1">
      <alignment vertical="center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10" xfId="0" applyFont="1" applyFill="1" applyBorder="1" applyAlignment="1">
      <alignment vertical="top"/>
    </xf>
    <xf numFmtId="0" fontId="1" fillId="4" borderId="11" xfId="0" applyFont="1" applyFill="1" applyBorder="1" applyAlignment="1">
      <alignment vertical="top"/>
    </xf>
    <xf numFmtId="0" fontId="1" fillId="4" borderId="12" xfId="0" applyFont="1" applyFill="1" applyBorder="1" applyAlignment="1">
      <alignment vertical="top"/>
    </xf>
    <xf numFmtId="0" fontId="3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3" fillId="5" borderId="13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4" fillId="6" borderId="14" xfId="0" applyFont="1" applyFill="1" applyBorder="1" applyAlignment="1">
      <alignment horizontal="left" vertical="top"/>
    </xf>
    <xf numFmtId="0" fontId="3" fillId="8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0" fontId="3" fillId="8" borderId="4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83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top"/>
    </xf>
    <xf numFmtId="183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/>
    </xf>
    <xf numFmtId="183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182" fontId="2" fillId="0" borderId="0" xfId="0" applyNumberFormat="1" applyFont="1" applyAlignment="1">
      <alignment horizontal="center" vertical="center"/>
    </xf>
    <xf numFmtId="0" fontId="8" fillId="0" borderId="13" xfId="6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center" vertical="top"/>
    </xf>
    <xf numFmtId="183" fontId="1" fillId="0" borderId="2" xfId="0" applyNumberFormat="1" applyFont="1" applyBorder="1" applyAlignment="1">
      <alignment horizontal="left" vertical="center"/>
    </xf>
    <xf numFmtId="183" fontId="1" fillId="0" borderId="3" xfId="0" applyNumberFormat="1" applyFont="1" applyBorder="1" applyAlignment="1">
      <alignment horizontal="left" vertical="center"/>
    </xf>
    <xf numFmtId="183" fontId="1" fillId="0" borderId="4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83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>
      <alignment vertical="center"/>
    </xf>
    <xf numFmtId="183" fontId="1" fillId="0" borderId="3" xfId="0" applyNumberFormat="1" applyFont="1" applyFill="1" applyBorder="1" applyAlignment="1">
      <alignment vertical="center"/>
    </xf>
    <xf numFmtId="0" fontId="1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183" fontId="1" fillId="0" borderId="11" xfId="0" applyNumberFormat="1" applyFont="1" applyFill="1" applyBorder="1" applyAlignment="1">
      <alignment vertical="center"/>
    </xf>
    <xf numFmtId="0" fontId="4" fillId="0" borderId="13" xfId="0" applyFont="1" applyBorder="1">
      <alignment vertical="center"/>
    </xf>
    <xf numFmtId="183" fontId="1" fillId="0" borderId="7" xfId="0" applyNumberFormat="1" applyFont="1" applyBorder="1" applyAlignment="1">
      <alignment horizontal="left" vertical="center"/>
    </xf>
    <xf numFmtId="183" fontId="1" fillId="0" borderId="8" xfId="0" applyNumberFormat="1" applyFont="1" applyBorder="1" applyAlignment="1">
      <alignment horizontal="left" vertical="center"/>
    </xf>
    <xf numFmtId="0" fontId="4" fillId="0" borderId="14" xfId="0" applyFont="1" applyBorder="1">
      <alignment vertical="center"/>
    </xf>
    <xf numFmtId="183" fontId="1" fillId="0" borderId="11" xfId="0" applyNumberFormat="1" applyFont="1" applyBorder="1" applyAlignment="1">
      <alignment horizontal="left" vertical="center"/>
    </xf>
    <xf numFmtId="183" fontId="1" fillId="0" borderId="12" xfId="0" applyNumberFormat="1" applyFont="1" applyBorder="1" applyAlignment="1">
      <alignment horizontal="left" vertical="center"/>
    </xf>
    <xf numFmtId="183" fontId="1" fillId="0" borderId="7" xfId="0" applyNumberFormat="1" applyFont="1" applyFill="1" applyBorder="1" applyAlignment="1">
      <alignment vertical="center"/>
    </xf>
    <xf numFmtId="183" fontId="1" fillId="0" borderId="4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top"/>
    </xf>
    <xf numFmtId="0" fontId="4" fillId="0" borderId="7" xfId="0" applyFont="1" applyBorder="1">
      <alignment vertical="center"/>
    </xf>
    <xf numFmtId="183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Border="1">
      <alignment vertical="center"/>
    </xf>
    <xf numFmtId="0" fontId="4" fillId="0" borderId="11" xfId="0" applyFont="1" applyBorder="1">
      <alignment vertical="center"/>
    </xf>
    <xf numFmtId="0" fontId="3" fillId="6" borderId="6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0" fontId="3" fillId="6" borderId="8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8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83" fontId="1" fillId="0" borderId="2" xfId="0" applyNumberFormat="1" applyFont="1" applyBorder="1" applyAlignment="1">
      <alignment horizontal="center" vertical="top"/>
    </xf>
    <xf numFmtId="183" fontId="1" fillId="0" borderId="3" xfId="0" applyNumberFormat="1" applyFont="1" applyBorder="1" applyAlignment="1">
      <alignment horizontal="center" vertical="top"/>
    </xf>
    <xf numFmtId="183" fontId="1" fillId="0" borderId="4" xfId="0" applyNumberFormat="1" applyFont="1" applyBorder="1" applyAlignment="1">
      <alignment horizontal="center" vertical="top"/>
    </xf>
    <xf numFmtId="182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182" fontId="9" fillId="0" borderId="1" xfId="0" applyNumberFormat="1" applyFont="1" applyBorder="1" applyAlignment="1">
      <alignment horizontal="center" vertical="top"/>
    </xf>
    <xf numFmtId="183" fontId="9" fillId="0" borderId="2" xfId="0" applyNumberFormat="1" applyFont="1" applyBorder="1" applyAlignment="1">
      <alignment horizontal="center" vertical="top"/>
    </xf>
    <xf numFmtId="183" fontId="9" fillId="0" borderId="3" xfId="0" applyNumberFormat="1" applyFont="1" applyBorder="1" applyAlignment="1">
      <alignment horizontal="center" vertical="top"/>
    </xf>
    <xf numFmtId="183" fontId="9" fillId="0" borderId="4" xfId="0" applyNumberFormat="1" applyFont="1" applyBorder="1" applyAlignment="1">
      <alignment horizontal="center" vertical="top"/>
    </xf>
    <xf numFmtId="183" fontId="9" fillId="0" borderId="1" xfId="0" applyNumberFormat="1" applyFont="1" applyBorder="1" applyAlignment="1">
      <alignment horizontal="center" vertical="top"/>
    </xf>
    <xf numFmtId="0" fontId="10" fillId="0" borderId="0" xfId="0" applyFont="1">
      <alignment vertical="center"/>
    </xf>
    <xf numFmtId="49" fontId="11" fillId="9" borderId="2" xfId="0" applyNumberFormat="1" applyFont="1" applyFill="1" applyBorder="1" applyAlignment="1"/>
    <xf numFmtId="49" fontId="11" fillId="9" borderId="3" xfId="0" applyNumberFormat="1" applyFont="1" applyFill="1" applyBorder="1" applyAlignment="1"/>
    <xf numFmtId="49" fontId="11" fillId="9" borderId="4" xfId="0" applyNumberFormat="1" applyFont="1" applyFill="1" applyBorder="1" applyAlignment="1"/>
    <xf numFmtId="49" fontId="11" fillId="9" borderId="3" xfId="0" applyNumberFormat="1" applyFont="1" applyFill="1" applyBorder="1" applyAlignment="1">
      <alignment horizontal="left"/>
    </xf>
    <xf numFmtId="49" fontId="11" fillId="9" borderId="4" xfId="0" applyNumberFormat="1" applyFont="1" applyFill="1" applyBorder="1" applyAlignment="1">
      <alignment horizontal="left"/>
    </xf>
    <xf numFmtId="49" fontId="2" fillId="4" borderId="15" xfId="0" applyNumberFormat="1" applyFont="1" applyFill="1" applyBorder="1" applyAlignment="1"/>
    <xf numFmtId="49" fontId="2" fillId="4" borderId="16" xfId="0" applyNumberFormat="1" applyFont="1" applyFill="1" applyBorder="1" applyAlignment="1"/>
    <xf numFmtId="49" fontId="2" fillId="4" borderId="17" xfId="0" applyNumberFormat="1" applyFont="1" applyFill="1" applyBorder="1" applyAlignment="1"/>
    <xf numFmtId="49" fontId="2" fillId="4" borderId="18" xfId="0" applyNumberFormat="1" applyFont="1" applyFill="1" applyBorder="1" applyAlignment="1"/>
    <xf numFmtId="49" fontId="1" fillId="4" borderId="16" xfId="0" applyNumberFormat="1" applyFont="1" applyFill="1" applyBorder="1" applyAlignment="1"/>
    <xf numFmtId="49" fontId="12" fillId="4" borderId="18" xfId="0" applyNumberFormat="1" applyFont="1" applyFill="1" applyBorder="1" applyAlignment="1"/>
    <xf numFmtId="49" fontId="13" fillId="4" borderId="15" xfId="0" applyNumberFormat="1" applyFont="1" applyFill="1" applyBorder="1" applyAlignment="1"/>
    <xf numFmtId="49" fontId="13" fillId="4" borderId="16" xfId="0" applyNumberFormat="1" applyFont="1" applyFill="1" applyBorder="1" applyAlignment="1"/>
    <xf numFmtId="49" fontId="13" fillId="4" borderId="17" xfId="0" applyNumberFormat="1" applyFont="1" applyFill="1" applyBorder="1" applyAlignment="1"/>
    <xf numFmtId="49" fontId="13" fillId="4" borderId="18" xfId="0" applyNumberFormat="1" applyFont="1" applyFill="1" applyBorder="1" applyAlignment="1"/>
    <xf numFmtId="49" fontId="4" fillId="4" borderId="16" xfId="0" applyNumberFormat="1" applyFont="1" applyFill="1" applyBorder="1" applyAlignment="1">
      <alignment horizontal="center"/>
    </xf>
    <xf numFmtId="49" fontId="1" fillId="4" borderId="16" xfId="0" applyNumberFormat="1" applyFont="1" applyFill="1" applyBorder="1">
      <alignment vertical="center"/>
    </xf>
    <xf numFmtId="49" fontId="1" fillId="4" borderId="17" xfId="0" applyNumberFormat="1" applyFont="1" applyFill="1" applyBorder="1">
      <alignment vertical="center"/>
    </xf>
    <xf numFmtId="49" fontId="4" fillId="0" borderId="16" xfId="0" applyNumberFormat="1" applyFont="1" applyBorder="1" applyAlignment="1"/>
    <xf numFmtId="49" fontId="2" fillId="4" borderId="0" xfId="0" applyNumberFormat="1" applyFont="1" applyFill="1" applyAlignment="1"/>
    <xf numFmtId="0" fontId="2" fillId="4" borderId="19" xfId="0" applyFont="1" applyFill="1" applyBorder="1" applyAlignment="1"/>
    <xf numFmtId="0" fontId="2" fillId="4" borderId="20" xfId="0" applyFont="1" applyFill="1" applyBorder="1" applyAlignment="1"/>
    <xf numFmtId="0" fontId="2" fillId="4" borderId="21" xfId="0" applyFont="1" applyFill="1" applyBorder="1" applyAlignment="1"/>
    <xf numFmtId="0" fontId="1" fillId="4" borderId="0" xfId="614" applyFont="1" applyFill="1">
      <alignment vertical="center"/>
    </xf>
    <xf numFmtId="0" fontId="2" fillId="4" borderId="0" xfId="614" applyFont="1" applyFill="1">
      <alignment vertical="center"/>
    </xf>
    <xf numFmtId="0" fontId="14" fillId="4" borderId="0" xfId="614" applyFont="1" applyFill="1">
      <alignment vertical="center"/>
    </xf>
    <xf numFmtId="0" fontId="15" fillId="4" borderId="0" xfId="614" applyFont="1" applyFill="1" applyAlignment="1">
      <alignment horizontal="center" vertical="center" wrapText="1"/>
    </xf>
    <xf numFmtId="0" fontId="16" fillId="4" borderId="0" xfId="614" applyFont="1" applyFill="1" applyAlignment="1">
      <alignment horizontal="center" vertical="center"/>
    </xf>
    <xf numFmtId="0" fontId="1" fillId="4" borderId="0" xfId="614" applyFont="1" applyFill="1" applyAlignment="1">
      <alignment horizontal="right" vertical="center"/>
    </xf>
    <xf numFmtId="0" fontId="1" fillId="4" borderId="0" xfId="614" applyFont="1" applyFill="1" applyAlignment="1">
      <alignment horizontal="center" vertical="center"/>
    </xf>
    <xf numFmtId="0" fontId="1" fillId="4" borderId="0" xfId="614" applyFont="1" applyFill="1" applyAlignment="1">
      <alignment horizontal="centerContinuous" vertical="center"/>
    </xf>
    <xf numFmtId="0" fontId="17" fillId="4" borderId="0" xfId="614" applyFont="1" applyFill="1" applyAlignment="1">
      <alignment horizontal="centerContinuous" vertical="center"/>
    </xf>
    <xf numFmtId="0" fontId="2" fillId="4" borderId="0" xfId="614" applyFont="1" applyFill="1" applyAlignment="1">
      <alignment horizontal="centerContinuous" vertical="center"/>
    </xf>
    <xf numFmtId="0" fontId="1" fillId="4" borderId="0" xfId="0" applyFont="1" applyFill="1" applyAlignment="1" quotePrefix="1">
      <alignment vertical="top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標準 10" xfId="474"/>
    <cellStyle name="標準 10 2" xfId="475"/>
    <cellStyle name="標準 11" xfId="476"/>
    <cellStyle name="標準 11 10" xfId="477"/>
    <cellStyle name="標準 11 2" xfId="478"/>
    <cellStyle name="標準 11 2 2" xfId="479"/>
    <cellStyle name="標準 11 2 2 2" xfId="480"/>
    <cellStyle name="標準 11 2 2 2 2" xfId="481"/>
    <cellStyle name="標準 11 2 2 2 2 2" xfId="482"/>
    <cellStyle name="標準 11 2 2 2 2 2 2" xfId="483"/>
    <cellStyle name="標準 11 2 2 2 2 3" xfId="484"/>
    <cellStyle name="標準 11 2 2 2 3" xfId="485"/>
    <cellStyle name="標準 11 2 2 2 3 2" xfId="486"/>
    <cellStyle name="標準 11 2 2 2 4" xfId="487"/>
    <cellStyle name="標準 11 2 2 3" xfId="488"/>
    <cellStyle name="標準 11 2 2 3 2" xfId="489"/>
    <cellStyle name="標準 11 2 2 3 2 2" xfId="490"/>
    <cellStyle name="標準 11 2 2 3 3" xfId="491"/>
    <cellStyle name="標準 11 2 2 4" xfId="492"/>
    <cellStyle name="標準 11 2 2 4 2" xfId="493"/>
    <cellStyle name="標準 11 2 2 4 3" xfId="494"/>
    <cellStyle name="標準 11 2 2 5" xfId="495"/>
    <cellStyle name="標準 11 2 2 5 2" xfId="496"/>
    <cellStyle name="標準 11 2 2 6" xfId="497"/>
    <cellStyle name="標準 11 2 2 7" xfId="498"/>
    <cellStyle name="標準 11 2 3" xfId="499"/>
    <cellStyle name="標準 11 2 3 2" xfId="500"/>
    <cellStyle name="標準 11 2 3 2 2" xfId="501"/>
    <cellStyle name="標準 11 2 3 3" xfId="502"/>
    <cellStyle name="標準 11 2 3 3 2" xfId="503"/>
    <cellStyle name="標準 11 2 3 4" xfId="504"/>
    <cellStyle name="標準 11 2 4" xfId="505"/>
    <cellStyle name="標準 11 2 4 2" xfId="506"/>
    <cellStyle name="標準 11 2 4 2 2" xfId="507"/>
    <cellStyle name="標準 11 2 4 3" xfId="508"/>
    <cellStyle name="標準 11 2 5" xfId="509"/>
    <cellStyle name="標準 11 2 5 2" xfId="510"/>
    <cellStyle name="標準 11 2 5 3" xfId="511"/>
    <cellStyle name="標準 11 2 6" xfId="512"/>
    <cellStyle name="標準 11 2 6 2" xfId="513"/>
    <cellStyle name="標準 11 2 7" xfId="514"/>
    <cellStyle name="標準 11 2 8" xfId="515"/>
    <cellStyle name="標準 11 3" xfId="516"/>
    <cellStyle name="標準 11 3 2" xfId="517"/>
    <cellStyle name="標準 11 3 2 2" xfId="518"/>
    <cellStyle name="標準 11 3 2 2 2" xfId="519"/>
    <cellStyle name="標準 11 3 2 3" xfId="520"/>
    <cellStyle name="標準 11 3 2 3 2" xfId="521"/>
    <cellStyle name="標準 11 3 2 4" xfId="522"/>
    <cellStyle name="標準 11 3 3" xfId="523"/>
    <cellStyle name="標準 11 3 3 2" xfId="524"/>
    <cellStyle name="標準 11 3 3 2 2" xfId="525"/>
    <cellStyle name="標準 11 3 3 3" xfId="526"/>
    <cellStyle name="標準 11 3 4" xfId="527"/>
    <cellStyle name="標準 11 3 4 2" xfId="528"/>
    <cellStyle name="標準 11 3 4 3" xfId="529"/>
    <cellStyle name="標準 11 3 5" xfId="530"/>
    <cellStyle name="標準 11 3 5 2" xfId="531"/>
    <cellStyle name="標準 11 3 6" xfId="532"/>
    <cellStyle name="標準 11 3 7" xfId="533"/>
    <cellStyle name="標準 11 4" xfId="534"/>
    <cellStyle name="標準 11 4 2" xfId="535"/>
    <cellStyle name="標準 11 4 2 2" xfId="536"/>
    <cellStyle name="標準 11 4 2 2 2" xfId="537"/>
    <cellStyle name="標準 11 4 2 2 2 2" xfId="538"/>
    <cellStyle name="標準 11 4 2 2 3" xfId="539"/>
    <cellStyle name="標準 11 4 2 3" xfId="540"/>
    <cellStyle name="標準 11 4 2 3 2" xfId="541"/>
    <cellStyle name="標準 11 4 2 4" xfId="542"/>
    <cellStyle name="標準 11 4 2 5" xfId="543"/>
    <cellStyle name="標準 11 4 3" xfId="544"/>
    <cellStyle name="標準 11 4 3 2" xfId="545"/>
    <cellStyle name="標準 11 4 3 2 2" xfId="546"/>
    <cellStyle name="標準 11 4 3 3" xfId="547"/>
    <cellStyle name="標準 11 4 4" xfId="548"/>
    <cellStyle name="標準 11 4 4 2" xfId="549"/>
    <cellStyle name="標準 11 4 4 3" xfId="550"/>
    <cellStyle name="標準 11 4 5" xfId="551"/>
    <cellStyle name="標準 11 4 5 2" xfId="552"/>
    <cellStyle name="標準 11 4 6" xfId="553"/>
    <cellStyle name="標準 11 4 7" xfId="554"/>
    <cellStyle name="標準 11 5" xfId="555"/>
    <cellStyle name="標準 11 5 2" xfId="556"/>
    <cellStyle name="標準 11 5 2 2" xfId="557"/>
    <cellStyle name="標準 11 5 3" xfId="558"/>
    <cellStyle name="標準 11 5 3 2" xfId="559"/>
    <cellStyle name="標準 11 5 4" xfId="560"/>
    <cellStyle name="標準 11 6" xfId="561"/>
    <cellStyle name="標準 11 6 2" xfId="562"/>
    <cellStyle name="標準 11 6 2 2" xfId="563"/>
    <cellStyle name="標準 11 6 3" xfId="564"/>
    <cellStyle name="標準 11 7" xfId="565"/>
    <cellStyle name="標準 11 7 2" xfId="566"/>
    <cellStyle name="標準 11 7 3" xfId="567"/>
    <cellStyle name="標準 11 8" xfId="568"/>
    <cellStyle name="標準 11 8 2" xfId="569"/>
    <cellStyle name="標準 11 9" xfId="570"/>
    <cellStyle name="標準 12" xfId="571"/>
    <cellStyle name="標準 13" xfId="572"/>
    <cellStyle name="標準 14" xfId="573"/>
    <cellStyle name="標準 14 2" xfId="574"/>
    <cellStyle name="標準 14 2 2" xfId="575"/>
    <cellStyle name="標準 14 2 2 2" xfId="576"/>
    <cellStyle name="標準 14 2 2 2 2" xfId="577"/>
    <cellStyle name="標準 14 2 2 3" xfId="578"/>
    <cellStyle name="標準 14 2 2 3 2" xfId="579"/>
    <cellStyle name="標準 14 2 2 4" xfId="580"/>
    <cellStyle name="標準 14 2 3" xfId="581"/>
    <cellStyle name="標準 14 2 3 2" xfId="582"/>
    <cellStyle name="標準 14 2 3 2 2" xfId="583"/>
    <cellStyle name="標準 14 2 3 3" xfId="584"/>
    <cellStyle name="標準 14 2 4" xfId="585"/>
    <cellStyle name="標準 14 2 4 2" xfId="586"/>
    <cellStyle name="標準 14 2 4 3" xfId="587"/>
    <cellStyle name="標準 14 2 5" xfId="588"/>
    <cellStyle name="標準 14 2 5 2" xfId="589"/>
    <cellStyle name="標準 14 2 6" xfId="590"/>
    <cellStyle name="標準 14 2 7" xfId="591"/>
    <cellStyle name="標準 14 3" xfId="592"/>
    <cellStyle name="標準 14 3 2" xfId="593"/>
    <cellStyle name="標準 14 3 2 2" xfId="594"/>
    <cellStyle name="標準 14 3 3" xfId="595"/>
    <cellStyle name="標準 14 3 3 2" xfId="596"/>
    <cellStyle name="標準 14 3 4" xfId="597"/>
    <cellStyle name="標準 14 4" xfId="598"/>
    <cellStyle name="標準 14 4 2" xfId="599"/>
    <cellStyle name="標準 14 4 2 2" xfId="600"/>
    <cellStyle name="標準 14 4 3" xfId="601"/>
    <cellStyle name="標準 14 5" xfId="602"/>
    <cellStyle name="標準 14 5 2" xfId="603"/>
    <cellStyle name="標準 14 5 3" xfId="604"/>
    <cellStyle name="標準 14 6" xfId="605"/>
    <cellStyle name="標準 14 6 2" xfId="606"/>
    <cellStyle name="標準 14 7" xfId="607"/>
    <cellStyle name="標準 14 8" xfId="608"/>
    <cellStyle name="標準 15" xfId="609"/>
    <cellStyle name="標準 16" xfId="610"/>
    <cellStyle name="標準 17" xfId="611"/>
    <cellStyle name="標準 18" xfId="612"/>
    <cellStyle name="標準 19" xfId="613"/>
    <cellStyle name="標準 2" xfId="614"/>
    <cellStyle name="標準 2 2" xfId="615"/>
    <cellStyle name="標準 2 2 2" xfId="616"/>
    <cellStyle name="標準 2 3" xfId="617"/>
    <cellStyle name="標準 2 3 10" xfId="618"/>
    <cellStyle name="標準 2 3 2" xfId="619"/>
    <cellStyle name="標準 2 3 3" xfId="620"/>
    <cellStyle name="標準 2 3 4" xfId="621"/>
    <cellStyle name="標準 2 3 5" xfId="622"/>
    <cellStyle name="標準 2 3 5 2" xfId="623"/>
    <cellStyle name="標準 2 3 5 2 2" xfId="624"/>
    <cellStyle name="標準 2 3 5 3" xfId="625"/>
    <cellStyle name="標準 2 3 5 3 2" xfId="626"/>
    <cellStyle name="標準 2 3 5 4" xfId="627"/>
    <cellStyle name="標準 2 3 6" xfId="628"/>
    <cellStyle name="標準 2 3 6 2" xfId="629"/>
    <cellStyle name="標準 2 3 6 2 2" xfId="630"/>
    <cellStyle name="標準 2 3 6 3" xfId="631"/>
    <cellStyle name="標準 2 3 7" xfId="632"/>
    <cellStyle name="標準 2 3 7 2" xfId="633"/>
    <cellStyle name="標準 2 3 7 3" xfId="634"/>
    <cellStyle name="標準 2 3 8" xfId="635"/>
    <cellStyle name="標準 2 3 8 2" xfId="636"/>
    <cellStyle name="標準 2 3 9" xfId="637"/>
    <cellStyle name="標準 2 4" xfId="638"/>
    <cellStyle name="標準 2 5" xfId="639"/>
    <cellStyle name="標準 20" xfId="640"/>
    <cellStyle name="標準 21" xfId="641"/>
    <cellStyle name="標準 3" xfId="642"/>
    <cellStyle name="標準 3 2" xfId="643"/>
    <cellStyle name="標準 3 2 2" xfId="644"/>
    <cellStyle name="標準 3 2 2 2" xfId="645"/>
    <cellStyle name="標準 3 2 2 2 2" xfId="646"/>
    <cellStyle name="標準 3 2 2 2 2 2" xfId="647"/>
    <cellStyle name="標準 3 2 2 2 2 2 2" xfId="648"/>
    <cellStyle name="標準 3 2 2 2 2 2 2 2" xfId="649"/>
    <cellStyle name="標準 3 2 2 2 2 2 3" xfId="650"/>
    <cellStyle name="標準 3 2 2 2 2 2 3 2" xfId="651"/>
    <cellStyle name="標準 3 2 2 2 2 2 4" xfId="652"/>
    <cellStyle name="標準 3 2 2 2 2 3" xfId="653"/>
    <cellStyle name="標準 3 2 2 2 2 3 2" xfId="654"/>
    <cellStyle name="標準 3 2 2 2 2 3 2 2" xfId="655"/>
    <cellStyle name="標準 3 2 2 2 2 3 3" xfId="656"/>
    <cellStyle name="標準 3 2 2 2 2 4" xfId="657"/>
    <cellStyle name="標準 3 2 2 2 2 4 2" xfId="658"/>
    <cellStyle name="標準 3 2 2 2 2 4 3" xfId="659"/>
    <cellStyle name="標準 3 2 2 2 2 5" xfId="660"/>
    <cellStyle name="標準 3 2 2 2 2 5 2" xfId="661"/>
    <cellStyle name="標準 3 2 2 2 2 6" xfId="662"/>
    <cellStyle name="標準 3 2 2 2 2 7" xfId="663"/>
    <cellStyle name="標準 3 2 2 2 3" xfId="664"/>
    <cellStyle name="標準 3 2 2 2 3 2" xfId="665"/>
    <cellStyle name="標準 3 2 2 2 3 2 2" xfId="666"/>
    <cellStyle name="標準 3 2 2 2 3 3" xfId="667"/>
    <cellStyle name="標準 3 2 2 2 3 3 2" xfId="668"/>
    <cellStyle name="標準 3 2 2 2 3 4" xfId="669"/>
    <cellStyle name="標準 3 2 2 2 4" xfId="670"/>
    <cellStyle name="標準 3 2 2 2 4 2" xfId="671"/>
    <cellStyle name="標準 3 2 2 2 4 2 2" xfId="672"/>
    <cellStyle name="標準 3 2 2 2 4 3" xfId="673"/>
    <cellStyle name="標準 3 2 2 2 5" xfId="674"/>
    <cellStyle name="標準 3 2 2 2 5 2" xfId="675"/>
    <cellStyle name="標準 3 2 2 2 5 3" xfId="676"/>
    <cellStyle name="標準 3 2 2 2 6" xfId="677"/>
    <cellStyle name="標準 3 2 2 2 6 2" xfId="678"/>
    <cellStyle name="標準 3 2 2 2 7" xfId="679"/>
    <cellStyle name="標準 3 2 2 2 8" xfId="680"/>
    <cellStyle name="標準 3 2 2 3" xfId="681"/>
    <cellStyle name="標準 3 2 2 3 2" xfId="682"/>
    <cellStyle name="標準 3 2 2 3 2 2" xfId="683"/>
    <cellStyle name="標準 3 2 2 3 2 2 2" xfId="684"/>
    <cellStyle name="標準 3 2 2 3 2 3" xfId="685"/>
    <cellStyle name="標準 3 2 2 3 2 3 2" xfId="686"/>
    <cellStyle name="標準 3 2 2 3 2 4" xfId="687"/>
    <cellStyle name="標準 3 2 2 3 3" xfId="688"/>
    <cellStyle name="標準 3 2 2 3 3 2" xfId="689"/>
    <cellStyle name="標準 3 2 2 3 3 2 2" xfId="690"/>
    <cellStyle name="標準 3 2 2 3 3 3" xfId="691"/>
    <cellStyle name="標準 3 2 2 3 4" xfId="692"/>
    <cellStyle name="標準 3 2 2 3 4 2" xfId="693"/>
    <cellStyle name="標準 3 2 2 3 4 3" xfId="694"/>
    <cellStyle name="標準 3 2 2 3 5" xfId="695"/>
    <cellStyle name="標準 3 2 2 3 5 2" xfId="696"/>
    <cellStyle name="標準 3 2 2 3 6" xfId="697"/>
    <cellStyle name="標準 3 2 2 3 7" xfId="698"/>
    <cellStyle name="標準 3 2 2 4" xfId="699"/>
    <cellStyle name="標準 3 2 2 4 2" xfId="700"/>
    <cellStyle name="標準 3 2 2 4 2 2" xfId="701"/>
    <cellStyle name="標準 3 2 2 4 3" xfId="702"/>
    <cellStyle name="標準 3 2 2 4 3 2" xfId="703"/>
    <cellStyle name="標準 3 2 2 4 4" xfId="704"/>
    <cellStyle name="標準 3 2 2 5" xfId="705"/>
    <cellStyle name="標準 3 2 2 5 2" xfId="706"/>
    <cellStyle name="標準 3 2 2 5 2 2" xfId="707"/>
    <cellStyle name="標準 3 2 2 5 3" xfId="708"/>
    <cellStyle name="標準 3 2 2 6" xfId="709"/>
    <cellStyle name="標準 3 2 2 6 2" xfId="710"/>
    <cellStyle name="標準 3 2 2 6 3" xfId="711"/>
    <cellStyle name="標準 3 2 2 7" xfId="712"/>
    <cellStyle name="標準 3 2 2 7 2" xfId="713"/>
    <cellStyle name="標準 3 2 2 8" xfId="714"/>
    <cellStyle name="標準 3 2 2 9" xfId="715"/>
    <cellStyle name="標準 3 2 3" xfId="716"/>
    <cellStyle name="標準 3 2 3 2" xfId="717"/>
    <cellStyle name="標準 3 2 3 2 2" xfId="718"/>
    <cellStyle name="標準 3 2 3 2 2 2" xfId="719"/>
    <cellStyle name="標準 3 2 3 2 2 2 2" xfId="720"/>
    <cellStyle name="標準 3 2 3 2 2 3" xfId="721"/>
    <cellStyle name="標準 3 2 3 2 2 3 2" xfId="722"/>
    <cellStyle name="標準 3 2 3 2 2 4" xfId="723"/>
    <cellStyle name="標準 3 2 3 2 3" xfId="724"/>
    <cellStyle name="標準 3 2 3 2 3 2" xfId="725"/>
    <cellStyle name="標準 3 2 3 2 3 2 2" xfId="726"/>
    <cellStyle name="標準 3 2 3 2 3 3" xfId="727"/>
    <cellStyle name="標準 3 2 3 2 4" xfId="728"/>
    <cellStyle name="標準 3 2 3 2 4 2" xfId="729"/>
    <cellStyle name="標準 3 2 3 2 4 3" xfId="730"/>
    <cellStyle name="標準 3 2 3 2 5" xfId="731"/>
    <cellStyle name="標準 3 2 3 2 5 2" xfId="732"/>
    <cellStyle name="標準 3 2 3 2 6" xfId="733"/>
    <cellStyle name="標準 3 2 3 2 7" xfId="734"/>
    <cellStyle name="標準 3 2 3 3" xfId="735"/>
    <cellStyle name="標準 3 2 3 3 2" xfId="736"/>
    <cellStyle name="標準 3 2 3 3 2 2" xfId="737"/>
    <cellStyle name="標準 3 2 3 3 3" xfId="738"/>
    <cellStyle name="標準 3 2 3 3 3 2" xfId="739"/>
    <cellStyle name="標準 3 2 3 3 4" xfId="740"/>
    <cellStyle name="標準 3 2 3 4" xfId="741"/>
    <cellStyle name="標準 3 2 3 4 2" xfId="742"/>
    <cellStyle name="標準 3 2 3 4 2 2" xfId="743"/>
    <cellStyle name="標準 3 2 3 4 3" xfId="744"/>
    <cellStyle name="標準 3 2 3 5" xfId="745"/>
    <cellStyle name="標準 3 2 3 5 2" xfId="746"/>
    <cellStyle name="標準 3 2 3 5 3" xfId="747"/>
    <cellStyle name="標準 3 2 3 6" xfId="748"/>
    <cellStyle name="標準 3 2 3 6 2" xfId="749"/>
    <cellStyle name="標準 3 2 3 7" xfId="750"/>
    <cellStyle name="標準 3 2 3 8" xfId="751"/>
    <cellStyle name="標準 3 2 4" xfId="752"/>
    <cellStyle name="標準 3 2 5" xfId="753"/>
    <cellStyle name="標準 3 2 6" xfId="754"/>
    <cellStyle name="標準 3 2 6 2" xfId="755"/>
    <cellStyle name="標準 3 2 6 2 2" xfId="756"/>
    <cellStyle name="標準 3 2 6 2 2 2" xfId="757"/>
    <cellStyle name="標準 3 2 6 2 3" xfId="758"/>
    <cellStyle name="標準 3 2 6 2 3 2" xfId="759"/>
    <cellStyle name="標準 3 2 6 2 4" xfId="760"/>
    <cellStyle name="標準 3 2 6 3" xfId="761"/>
    <cellStyle name="標準 3 2 6 3 2" xfId="762"/>
    <cellStyle name="標準 3 2 6 3 2 2" xfId="763"/>
    <cellStyle name="標準 3 2 6 3 3" xfId="764"/>
    <cellStyle name="標準 3 2 6 4" xfId="765"/>
    <cellStyle name="標準 3 2 6 4 2" xfId="766"/>
    <cellStyle name="標準 3 2 6 4 3" xfId="767"/>
    <cellStyle name="標準 3 2 6 5" xfId="768"/>
    <cellStyle name="標準 3 2 6 5 2" xfId="769"/>
    <cellStyle name="標準 3 2 6 6" xfId="770"/>
    <cellStyle name="標準 3 2 6 7" xfId="771"/>
    <cellStyle name="標準 3 2 7" xfId="772"/>
    <cellStyle name="標準 3 2 7 2" xfId="773"/>
    <cellStyle name="標準 3 2 7 2 2" xfId="774"/>
    <cellStyle name="標準 3 2 7 2 2 2" xfId="775"/>
    <cellStyle name="標準 3 2 7 2 3" xfId="776"/>
    <cellStyle name="標準 3 2 7 2 3 2" xfId="777"/>
    <cellStyle name="標準 3 2 7 2 4" xfId="778"/>
    <cellStyle name="標準 3 2 7 3" xfId="779"/>
    <cellStyle name="標準 3 2 7 3 2" xfId="780"/>
    <cellStyle name="標準 3 2 7 3 2 2" xfId="781"/>
    <cellStyle name="標準 3 2 7 3 3" xfId="782"/>
    <cellStyle name="標準 3 2 7 4" xfId="783"/>
    <cellStyle name="標準 3 2 7 4 2" xfId="784"/>
    <cellStyle name="標準 3 2 7 4 3" xfId="785"/>
    <cellStyle name="標準 3 2 7 5" xfId="786"/>
    <cellStyle name="標準 3 2 7 5 2" xfId="787"/>
    <cellStyle name="標準 3 2 7 6" xfId="788"/>
    <cellStyle name="標準 3 2 7 7" xfId="789"/>
    <cellStyle name="標準 3 3" xfId="790"/>
    <cellStyle name="標準 3 3 2" xfId="791"/>
    <cellStyle name="標準 3 3 2 2" xfId="792"/>
    <cellStyle name="標準 3 3 2 2 2" xfId="793"/>
    <cellStyle name="標準 3 3 2 2 2 2" xfId="794"/>
    <cellStyle name="標準 3 3 2 2 2 2 2" xfId="795"/>
    <cellStyle name="標準 3 3 2 2 2 3" xfId="796"/>
    <cellStyle name="標準 3 3 2 2 2 3 2" xfId="797"/>
    <cellStyle name="標準 3 3 2 2 2 4" xfId="798"/>
    <cellStyle name="標準 3 3 2 2 3" xfId="799"/>
    <cellStyle name="標準 3 3 2 2 3 2" xfId="800"/>
    <cellStyle name="標準 3 3 2 2 3 2 2" xfId="801"/>
    <cellStyle name="標準 3 3 2 2 3 3" xfId="802"/>
    <cellStyle name="標準 3 3 2 2 4" xfId="803"/>
    <cellStyle name="標準 3 3 2 2 4 2" xfId="804"/>
    <cellStyle name="標準 3 3 2 2 4 3" xfId="805"/>
    <cellStyle name="標準 3 3 2 2 5" xfId="806"/>
    <cellStyle name="標準 3 3 2 2 5 2" xfId="807"/>
    <cellStyle name="標準 3 3 2 2 6" xfId="808"/>
    <cellStyle name="標準 3 3 2 2 7" xfId="809"/>
    <cellStyle name="標準 3 3 2 3" xfId="810"/>
    <cellStyle name="標準 3 3 2 3 2" xfId="811"/>
    <cellStyle name="標準 3 3 2 3 2 2" xfId="812"/>
    <cellStyle name="標準 3 3 2 3 3" xfId="813"/>
    <cellStyle name="標準 3 3 2 3 3 2" xfId="814"/>
    <cellStyle name="標準 3 3 2 3 4" xfId="815"/>
    <cellStyle name="標準 3 3 2 4" xfId="816"/>
    <cellStyle name="標準 3 3 2 4 2" xfId="817"/>
    <cellStyle name="標準 3 3 2 4 2 2" xfId="818"/>
    <cellStyle name="標準 3 3 2 4 3" xfId="819"/>
    <cellStyle name="標準 3 3 2 5" xfId="820"/>
    <cellStyle name="標準 3 3 2 5 2" xfId="821"/>
    <cellStyle name="標準 3 3 2 5 3" xfId="822"/>
    <cellStyle name="標準 3 3 2 6" xfId="823"/>
    <cellStyle name="標準 3 3 2 6 2" xfId="824"/>
    <cellStyle name="標準 3 3 2 7" xfId="825"/>
    <cellStyle name="標準 3 3 2 8" xfId="826"/>
    <cellStyle name="標準 3 3 3" xfId="827"/>
    <cellStyle name="標準 3 4" xfId="828"/>
    <cellStyle name="標準 3 5" xfId="829"/>
    <cellStyle name="標準 3 6" xfId="830"/>
    <cellStyle name="標準 3 7" xfId="831"/>
    <cellStyle name="標準 3 8" xfId="832"/>
    <cellStyle name="標準 3 8 2" xfId="833"/>
    <cellStyle name="標準 3 8 2 2" xfId="834"/>
    <cellStyle name="標準 3 8 2 2 2" xfId="835"/>
    <cellStyle name="標準 3 8 2 3" xfId="836"/>
    <cellStyle name="標準 3 8 2 3 2" xfId="837"/>
    <cellStyle name="標準 3 8 2 4" xfId="838"/>
    <cellStyle name="標準 3 8 3" xfId="839"/>
    <cellStyle name="標準 3 8 3 2" xfId="840"/>
    <cellStyle name="標準 3 8 3 2 2" xfId="841"/>
    <cellStyle name="標準 3 8 3 3" xfId="842"/>
    <cellStyle name="標準 3 8 4" xfId="843"/>
    <cellStyle name="標準 3 8 4 2" xfId="844"/>
    <cellStyle name="標準 3 8 4 3" xfId="845"/>
    <cellStyle name="標準 3 8 5" xfId="846"/>
    <cellStyle name="標準 3 8 5 2" xfId="847"/>
    <cellStyle name="標準 3 8 6" xfId="848"/>
    <cellStyle name="標準 3 8 7" xfId="849"/>
    <cellStyle name="標準 4" xfId="850"/>
    <cellStyle name="標準 4 2" xfId="851"/>
    <cellStyle name="標準 4 3" xfId="852"/>
    <cellStyle name="標準 4 4" xfId="853"/>
    <cellStyle name="標準 5" xfId="854"/>
    <cellStyle name="標準 5 10" xfId="855"/>
    <cellStyle name="標準 5 10 2" xfId="856"/>
    <cellStyle name="標準 5 11" xfId="857"/>
    <cellStyle name="標準 5 12" xfId="858"/>
    <cellStyle name="標準 5 2" xfId="859"/>
    <cellStyle name="標準 5 2 2" xfId="860"/>
    <cellStyle name="標準 5 2 2 2" xfId="861"/>
    <cellStyle name="標準 5 2 2 3" xfId="862"/>
    <cellStyle name="標準 5 2 2 4" xfId="863"/>
    <cellStyle name="標準 5 2 2 4 2" xfId="864"/>
    <cellStyle name="標準 5 2 2 4 2 2" xfId="865"/>
    <cellStyle name="標準 5 2 2 4 3" xfId="866"/>
    <cellStyle name="標準 5 2 2 4 3 2" xfId="867"/>
    <cellStyle name="標準 5 2 2 4 4" xfId="868"/>
    <cellStyle name="標準 5 2 2 5" xfId="869"/>
    <cellStyle name="標準 5 2 2 5 2" xfId="870"/>
    <cellStyle name="標準 5 2 2 5 2 2" xfId="871"/>
    <cellStyle name="標準 5 2 2 5 3" xfId="872"/>
    <cellStyle name="標準 5 2 2 6" xfId="873"/>
    <cellStyle name="標準 5 2 2 6 2" xfId="874"/>
    <cellStyle name="標準 5 2 2 6 3" xfId="875"/>
    <cellStyle name="標準 5 2 2 7" xfId="876"/>
    <cellStyle name="標準 5 2 2 7 2" xfId="877"/>
    <cellStyle name="標準 5 2 2 8" xfId="878"/>
    <cellStyle name="標準 5 2 2 9" xfId="879"/>
    <cellStyle name="標準 5 2 3" xfId="880"/>
    <cellStyle name="標準 5 3" xfId="881"/>
    <cellStyle name="標準 5 3 10" xfId="882"/>
    <cellStyle name="標準 5 3 2" xfId="883"/>
    <cellStyle name="標準 5 3 2 2" xfId="884"/>
    <cellStyle name="標準 5 3 3" xfId="885"/>
    <cellStyle name="標準 5 3 4" xfId="886"/>
    <cellStyle name="標準 5 3 5" xfId="887"/>
    <cellStyle name="標準 5 3 5 2" xfId="888"/>
    <cellStyle name="標準 5 3 5 2 2" xfId="889"/>
    <cellStyle name="標準 5 3 5 3" xfId="890"/>
    <cellStyle name="標準 5 3 5 3 2" xfId="891"/>
    <cellStyle name="標準 5 3 5 4" xfId="892"/>
    <cellStyle name="標準 5 3 6" xfId="893"/>
    <cellStyle name="標準 5 3 6 2" xfId="894"/>
    <cellStyle name="標準 5 3 6 2 2" xfId="895"/>
    <cellStyle name="標準 5 3 6 3" xfId="896"/>
    <cellStyle name="標準 5 3 7" xfId="897"/>
    <cellStyle name="標準 5 3 7 2" xfId="898"/>
    <cellStyle name="標準 5 3 7 3" xfId="899"/>
    <cellStyle name="標準 5 3 8" xfId="900"/>
    <cellStyle name="標準 5 3 8 2" xfId="901"/>
    <cellStyle name="標準 5 3 9" xfId="902"/>
    <cellStyle name="標準 5 4" xfId="903"/>
    <cellStyle name="標準 5 5" xfId="904"/>
    <cellStyle name="標準 5 6" xfId="905"/>
    <cellStyle name="標準 5 6 2" xfId="906"/>
    <cellStyle name="標準 5 6 2 2" xfId="907"/>
    <cellStyle name="標準 5 6 2 2 2" xfId="908"/>
    <cellStyle name="標準 5 6 2 2 3" xfId="909"/>
    <cellStyle name="標準 5 6 2 3" xfId="910"/>
    <cellStyle name="標準 5 6 2 3 2" xfId="911"/>
    <cellStyle name="標準 5 6 2 4" xfId="912"/>
    <cellStyle name="標準 5 6 2 5" xfId="913"/>
    <cellStyle name="標準 5 6 3" xfId="914"/>
    <cellStyle name="標準 5 6 3 2" xfId="915"/>
    <cellStyle name="標準 5 6 3 2 2" xfId="916"/>
    <cellStyle name="標準 5 6 3 3" xfId="917"/>
    <cellStyle name="標準 5 6 4" xfId="918"/>
    <cellStyle name="標準 5 6 4 2" xfId="919"/>
    <cellStyle name="標準 5 6 4 3" xfId="920"/>
    <cellStyle name="標準 5 6 5" xfId="921"/>
    <cellStyle name="標準 5 6 5 2" xfId="922"/>
    <cellStyle name="標準 5 6 6" xfId="923"/>
    <cellStyle name="標準 5 6 7" xfId="924"/>
    <cellStyle name="標準 5 6 8" xfId="925"/>
    <cellStyle name="標準 5 7" xfId="926"/>
    <cellStyle name="標準 5 7 2" xfId="927"/>
    <cellStyle name="標準 5 7 2 2" xfId="928"/>
    <cellStyle name="標準 5 7 3" xfId="929"/>
    <cellStyle name="標準 5 7 3 2" xfId="930"/>
    <cellStyle name="標準 5 7 4" xfId="931"/>
    <cellStyle name="標準 5 8" xfId="932"/>
    <cellStyle name="標準 5 8 2" xfId="933"/>
    <cellStyle name="標準 5 8 2 2" xfId="934"/>
    <cellStyle name="標準 5 8 3" xfId="935"/>
    <cellStyle name="標準 5 9" xfId="936"/>
    <cellStyle name="標準 5 9 2" xfId="937"/>
    <cellStyle name="標準 5 9 3" xfId="938"/>
    <cellStyle name="標準 6" xfId="939"/>
    <cellStyle name="標準 6 2" xfId="940"/>
    <cellStyle name="標準 6 3" xfId="941"/>
    <cellStyle name="標準 7" xfId="942"/>
    <cellStyle name="標準 7 2" xfId="943"/>
    <cellStyle name="標準 7 2 10" xfId="944"/>
    <cellStyle name="標準 7 2 2" xfId="945"/>
    <cellStyle name="標準 7 2 2 2" xfId="946"/>
    <cellStyle name="標準 7 2 2 2 2" xfId="947"/>
    <cellStyle name="標準 7 2 2 2 2 2" xfId="948"/>
    <cellStyle name="標準 7 2 2 2 2 2 2" xfId="949"/>
    <cellStyle name="標準 7 2 2 2 2 2 2 2" xfId="950"/>
    <cellStyle name="標準 7 2 2 2 2 2 3" xfId="951"/>
    <cellStyle name="標準 7 2 2 2 2 2 3 2" xfId="952"/>
    <cellStyle name="標準 7 2 2 2 2 2 4" xfId="953"/>
    <cellStyle name="標準 7 2 2 2 2 3" xfId="954"/>
    <cellStyle name="標準 7 2 2 2 2 3 2" xfId="955"/>
    <cellStyle name="標準 7 2 2 2 2 3 2 2" xfId="956"/>
    <cellStyle name="標準 7 2 2 2 2 3 3" xfId="957"/>
    <cellStyle name="標準 7 2 2 2 2 4" xfId="958"/>
    <cellStyle name="標準 7 2 2 2 2 4 2" xfId="959"/>
    <cellStyle name="標準 7 2 2 2 2 4 3" xfId="960"/>
    <cellStyle name="標準 7 2 2 2 2 5" xfId="961"/>
    <cellStyle name="標準 7 2 2 2 2 5 2" xfId="962"/>
    <cellStyle name="標準 7 2 2 2 2 6" xfId="963"/>
    <cellStyle name="標準 7 2 2 2 2 7" xfId="964"/>
    <cellStyle name="標準 7 2 2 2 3" xfId="965"/>
    <cellStyle name="標準 7 2 2 2 3 2" xfId="966"/>
    <cellStyle name="標準 7 2 2 2 3 2 2" xfId="967"/>
    <cellStyle name="標準 7 2 2 2 3 3" xfId="968"/>
    <cellStyle name="標準 7 2 2 2 3 3 2" xfId="969"/>
    <cellStyle name="標準 7 2 2 2 3 4" xfId="970"/>
    <cellStyle name="標準 7 2 2 2 4" xfId="971"/>
    <cellStyle name="標準 7 2 2 2 4 2" xfId="972"/>
    <cellStyle name="標準 7 2 2 2 4 2 2" xfId="973"/>
    <cellStyle name="標準 7 2 2 2 4 3" xfId="974"/>
    <cellStyle name="標準 7 2 2 2 5" xfId="975"/>
    <cellStyle name="標準 7 2 2 2 5 2" xfId="976"/>
    <cellStyle name="標準 7 2 2 2 5 3" xfId="977"/>
    <cellStyle name="標準 7 2 2 2 6" xfId="978"/>
    <cellStyle name="標準 7 2 2 2 6 2" xfId="979"/>
    <cellStyle name="標準 7 2 2 2 7" xfId="980"/>
    <cellStyle name="標準 7 2 2 2 8" xfId="981"/>
    <cellStyle name="標準 7 2 2 3" xfId="982"/>
    <cellStyle name="標準 7 2 2 3 2" xfId="983"/>
    <cellStyle name="標準 7 2 2 3 2 2" xfId="984"/>
    <cellStyle name="標準 7 2 2 3 2 2 2" xfId="985"/>
    <cellStyle name="標準 7 2 2 3 2 3" xfId="986"/>
    <cellStyle name="標準 7 2 2 3 2 3 2" xfId="987"/>
    <cellStyle name="標準 7 2 2 3 2 4" xfId="988"/>
    <cellStyle name="標準 7 2 2 3 3" xfId="989"/>
    <cellStyle name="標準 7 2 2 3 3 2" xfId="990"/>
    <cellStyle name="標準 7 2 2 3 3 2 2" xfId="991"/>
    <cellStyle name="標準 7 2 2 3 3 3" xfId="992"/>
    <cellStyle name="標準 7 2 2 3 4" xfId="993"/>
    <cellStyle name="標準 7 2 2 3 4 2" xfId="994"/>
    <cellStyle name="標準 7 2 2 3 4 3" xfId="995"/>
    <cellStyle name="標準 7 2 2 3 5" xfId="996"/>
    <cellStyle name="標準 7 2 2 3 5 2" xfId="997"/>
    <cellStyle name="標準 7 2 2 3 6" xfId="998"/>
    <cellStyle name="標準 7 2 2 3 7" xfId="999"/>
    <cellStyle name="標準 7 2 2 4" xfId="1000"/>
    <cellStyle name="標準 7 2 2 4 2" xfId="1001"/>
    <cellStyle name="標準 7 2 2 4 2 2" xfId="1002"/>
    <cellStyle name="標準 7 2 2 4 3" xfId="1003"/>
    <cellStyle name="標準 7 2 2 4 3 2" xfId="1004"/>
    <cellStyle name="標準 7 2 2 4 4" xfId="1005"/>
    <cellStyle name="標準 7 2 2 5" xfId="1006"/>
    <cellStyle name="標準 7 2 2 5 2" xfId="1007"/>
    <cellStyle name="標準 7 2 2 5 2 2" xfId="1008"/>
    <cellStyle name="標準 7 2 2 5 3" xfId="1009"/>
    <cellStyle name="標準 7 2 2 6" xfId="1010"/>
    <cellStyle name="標準 7 2 2 6 2" xfId="1011"/>
    <cellStyle name="標準 7 2 2 6 3" xfId="1012"/>
    <cellStyle name="標準 7 2 2 7" xfId="1013"/>
    <cellStyle name="標準 7 2 2 7 2" xfId="1014"/>
    <cellStyle name="標準 7 2 2 8" xfId="1015"/>
    <cellStyle name="標準 7 2 2 9" xfId="1016"/>
    <cellStyle name="標準 7 2 3" xfId="1017"/>
    <cellStyle name="標準 7 2 3 2" xfId="1018"/>
    <cellStyle name="標準 7 2 3 2 2" xfId="1019"/>
    <cellStyle name="標準 7 2 3 2 2 2" xfId="1020"/>
    <cellStyle name="標準 7 2 3 2 2 2 2" xfId="1021"/>
    <cellStyle name="標準 7 2 3 2 2 3" xfId="1022"/>
    <cellStyle name="標準 7 2 3 2 2 3 2" xfId="1023"/>
    <cellStyle name="標準 7 2 3 2 2 4" xfId="1024"/>
    <cellStyle name="標準 7 2 3 2 3" xfId="1025"/>
    <cellStyle name="標準 7 2 3 2 3 2" xfId="1026"/>
    <cellStyle name="標準 7 2 3 2 3 2 2" xfId="1027"/>
    <cellStyle name="標準 7 2 3 2 3 3" xfId="1028"/>
    <cellStyle name="標準 7 2 3 2 4" xfId="1029"/>
    <cellStyle name="標準 7 2 3 2 4 2" xfId="1030"/>
    <cellStyle name="標準 7 2 3 2 4 3" xfId="1031"/>
    <cellStyle name="標準 7 2 3 2 5" xfId="1032"/>
    <cellStyle name="標準 7 2 3 2 5 2" xfId="1033"/>
    <cellStyle name="標準 7 2 3 2 6" xfId="1034"/>
    <cellStyle name="標準 7 2 3 2 7" xfId="1035"/>
    <cellStyle name="標準 7 2 3 3" xfId="1036"/>
    <cellStyle name="標準 7 2 3 3 2" xfId="1037"/>
    <cellStyle name="標準 7 2 3 3 2 2" xfId="1038"/>
    <cellStyle name="標準 7 2 3 3 3" xfId="1039"/>
    <cellStyle name="標準 7 2 3 3 3 2" xfId="1040"/>
    <cellStyle name="標準 7 2 3 3 4" xfId="1041"/>
    <cellStyle name="標準 7 2 3 4" xfId="1042"/>
    <cellStyle name="標準 7 2 3 4 2" xfId="1043"/>
    <cellStyle name="標準 7 2 3 4 2 2" xfId="1044"/>
    <cellStyle name="標準 7 2 3 4 3" xfId="1045"/>
    <cellStyle name="標準 7 2 3 5" xfId="1046"/>
    <cellStyle name="標準 7 2 3 5 2" xfId="1047"/>
    <cellStyle name="標準 7 2 3 5 3" xfId="1048"/>
    <cellStyle name="標準 7 2 3 6" xfId="1049"/>
    <cellStyle name="標準 7 2 3 6 2" xfId="1050"/>
    <cellStyle name="標準 7 2 3 7" xfId="1051"/>
    <cellStyle name="標準 7 2 3 8" xfId="1052"/>
    <cellStyle name="標準 7 2 4" xfId="1053"/>
    <cellStyle name="標準 7 2 4 2" xfId="1054"/>
    <cellStyle name="標準 7 2 4 2 2" xfId="1055"/>
    <cellStyle name="標準 7 2 4 2 2 2" xfId="1056"/>
    <cellStyle name="標準 7 2 4 2 3" xfId="1057"/>
    <cellStyle name="標準 7 2 4 2 3 2" xfId="1058"/>
    <cellStyle name="標準 7 2 4 2 4" xfId="1059"/>
    <cellStyle name="標準 7 2 4 3" xfId="1060"/>
    <cellStyle name="標準 7 2 4 3 2" xfId="1061"/>
    <cellStyle name="標準 7 2 4 3 2 2" xfId="1062"/>
    <cellStyle name="標準 7 2 4 3 3" xfId="1063"/>
    <cellStyle name="標準 7 2 4 4" xfId="1064"/>
    <cellStyle name="標準 7 2 4 4 2" xfId="1065"/>
    <cellStyle name="標準 7 2 4 4 3" xfId="1066"/>
    <cellStyle name="標準 7 2 4 5" xfId="1067"/>
    <cellStyle name="標準 7 2 4 5 2" xfId="1068"/>
    <cellStyle name="標準 7 2 4 6" xfId="1069"/>
    <cellStyle name="標準 7 2 4 7" xfId="1070"/>
    <cellStyle name="標準 7 2 5" xfId="1071"/>
    <cellStyle name="標準 7 2 5 2" xfId="1072"/>
    <cellStyle name="標準 7 2 5 2 2" xfId="1073"/>
    <cellStyle name="標準 7 2 5 3" xfId="1074"/>
    <cellStyle name="標準 7 2 5 3 2" xfId="1075"/>
    <cellStyle name="標準 7 2 5 4" xfId="1076"/>
    <cellStyle name="標準 7 2 6" xfId="1077"/>
    <cellStyle name="標準 7 2 6 2" xfId="1078"/>
    <cellStyle name="標準 7 2 6 2 2" xfId="1079"/>
    <cellStyle name="標準 7 2 6 3" xfId="1080"/>
    <cellStyle name="標準 7 2 7" xfId="1081"/>
    <cellStyle name="標準 7 2 7 2" xfId="1082"/>
    <cellStyle name="標準 7 2 7 3" xfId="1083"/>
    <cellStyle name="標準 7 2 8" xfId="1084"/>
    <cellStyle name="標準 7 2 8 2" xfId="1085"/>
    <cellStyle name="標準 7 2 9" xfId="1086"/>
    <cellStyle name="標準 7 3" xfId="1087"/>
    <cellStyle name="標準 7 3 2" xfId="1088"/>
    <cellStyle name="標準 7 4" xfId="1089"/>
    <cellStyle name="標準 7 5" xfId="1090"/>
    <cellStyle name="標準 8" xfId="1091"/>
    <cellStyle name="標準 8 2" xfId="1092"/>
    <cellStyle name="標準 8 2 2" xfId="1093"/>
    <cellStyle name="標準 8 3" xfId="1094"/>
    <cellStyle name="標準 8 4" xfId="1095"/>
    <cellStyle name="標準 8 5" xfId="1096"/>
    <cellStyle name="標準 9" xfId="1097"/>
    <cellStyle name="標準 9 2" xfId="1098"/>
    <cellStyle name="常规 2" xfId="1099"/>
    <cellStyle name="出力 2" xfId="1100"/>
    <cellStyle name="出力 2 2" xfId="1101"/>
    <cellStyle name="出力 2 2 2" xfId="1102"/>
    <cellStyle name="出力 2 2 2 2" xfId="1103"/>
    <cellStyle name="出力 2 2 2 2 2" xfId="1104"/>
    <cellStyle name="出力 2 2 2 2 2 2" xfId="1105"/>
    <cellStyle name="出力 2 2 2 2 3" xfId="1106"/>
    <cellStyle name="出力 2 2 2 2 3 2" xfId="1107"/>
    <cellStyle name="出力 2 2 2 2 4" xfId="1108"/>
    <cellStyle name="出力 2 2 2 3" xfId="1109"/>
    <cellStyle name="出力 2 2 2 3 2" xfId="1110"/>
    <cellStyle name="出力 2 2 2 4" xfId="1111"/>
    <cellStyle name="出力 2 2 2 4 2" xfId="1112"/>
    <cellStyle name="出力 2 2 2 5" xfId="1113"/>
    <cellStyle name="出力 2 2 2 6" xfId="1114"/>
    <cellStyle name="出力 2 2 3" xfId="1115"/>
    <cellStyle name="出力 2 2 3 2" xfId="1116"/>
    <cellStyle name="出力 2 2 3 2 2" xfId="1117"/>
    <cellStyle name="出力 2 2 3 3" xfId="1118"/>
    <cellStyle name="出力 2 2 3 3 2" xfId="1119"/>
    <cellStyle name="出力 2 2 3 4" xfId="1120"/>
    <cellStyle name="出力 2 2 3 4 2" xfId="1121"/>
    <cellStyle name="出力 2 2 3 5" xfId="1122"/>
    <cellStyle name="出力 2 2 3 6" xfId="1123"/>
    <cellStyle name="出力 2 2 4" xfId="1124"/>
    <cellStyle name="出力 2 2 4 2" xfId="1125"/>
    <cellStyle name="出力 2 2 4 2 2" xfId="1126"/>
    <cellStyle name="出力 2 2 4 3" xfId="1127"/>
    <cellStyle name="出力 2 2 4 3 2" xfId="1128"/>
    <cellStyle name="出力 2 2 4 4" xfId="1129"/>
    <cellStyle name="出力 2 2 5" xfId="1130"/>
    <cellStyle name="出力 2 3" xfId="1131"/>
    <cellStyle name="出力 2 3 2" xfId="1132"/>
    <cellStyle name="出力 2 3 2 2" xfId="1133"/>
    <cellStyle name="出力 2 3 2 2 2" xfId="1134"/>
    <cellStyle name="出力 2 3 2 3" xfId="1135"/>
    <cellStyle name="出力 2 3 2 3 2" xfId="1136"/>
    <cellStyle name="出力 2 3 2 4" xfId="1137"/>
    <cellStyle name="出力 2 3 3" xfId="1138"/>
    <cellStyle name="出力 2 3 3 2" xfId="1139"/>
    <cellStyle name="出力 2 3 4" xfId="1140"/>
    <cellStyle name="出力 2 3 4 2" xfId="1141"/>
    <cellStyle name="出力 2 3 5" xfId="1142"/>
    <cellStyle name="出力 2 3 6" xfId="1143"/>
    <cellStyle name="出力 2 4" xfId="1144"/>
    <cellStyle name="出力 2 4 2" xfId="1145"/>
    <cellStyle name="出力 2 4 2 2" xfId="1146"/>
    <cellStyle name="出力 2 4 3" xfId="1147"/>
    <cellStyle name="出力 2 4 3 2" xfId="1148"/>
    <cellStyle name="出力 2 4 4" xfId="1149"/>
    <cellStyle name="出力 2 4 4 2" xfId="1150"/>
    <cellStyle name="出力 2 4 5" xfId="1151"/>
    <cellStyle name="出力 2 4 6" xfId="1152"/>
    <cellStyle name="出力 2 5" xfId="1153"/>
    <cellStyle name="出力 2 5 2" xfId="1154"/>
    <cellStyle name="出力 2 5 2 2" xfId="1155"/>
    <cellStyle name="出力 2 5 3" xfId="1156"/>
    <cellStyle name="出力 2 5 3 2" xfId="1157"/>
    <cellStyle name="出力 2 5 4" xfId="1158"/>
    <cellStyle name="出力 2 6" xfId="1159"/>
    <cellStyle name="悪い 2" xfId="1160"/>
    <cellStyle name="工数集計" xfId="1161"/>
    <cellStyle name="桁区切り 2" xfId="1162"/>
    <cellStyle name="基本計画検討書（PJ）" xfId="1163"/>
    <cellStyle name="基本計画検討書（通番）" xfId="1164"/>
    <cellStyle name="集計 2" xfId="1165"/>
    <cellStyle name="集計 2 2" xfId="1166"/>
    <cellStyle name="集計 2 2 2" xfId="1167"/>
    <cellStyle name="集計 2 2 2 2" xfId="1168"/>
    <cellStyle name="集計 2 2 2 2 2" xfId="1169"/>
    <cellStyle name="集計 2 2 2 3" xfId="1170"/>
    <cellStyle name="集計 2 2 2 3 2" xfId="1171"/>
    <cellStyle name="集計 2 2 2 4" xfId="1172"/>
    <cellStyle name="集計 2 2 2 4 2" xfId="1173"/>
    <cellStyle name="集計 2 2 2 5" xfId="1174"/>
    <cellStyle name="集計 2 2 2 6" xfId="1175"/>
    <cellStyle name="集計 2 2 2 7" xfId="1176"/>
    <cellStyle name="集計 2 2 2 8" xfId="1177"/>
    <cellStyle name="集計 2 2 3" xfId="1178"/>
    <cellStyle name="集計 2 2 3 2" xfId="1179"/>
    <cellStyle name="集計 2 2 3 2 2" xfId="1180"/>
    <cellStyle name="集計 2 2 3 3" xfId="1181"/>
    <cellStyle name="集計 2 2 3 3 2" xfId="1182"/>
    <cellStyle name="集計 2 2 3 4" xfId="1183"/>
    <cellStyle name="集計 2 2 3 4 2" xfId="1184"/>
    <cellStyle name="集計 2 2 3 5" xfId="1185"/>
    <cellStyle name="集計 2 2 3 6" xfId="1186"/>
    <cellStyle name="集計 2 2 3 7" xfId="1187"/>
    <cellStyle name="集計 2 2 4" xfId="1188"/>
    <cellStyle name="集計 2 2 4 2" xfId="1189"/>
    <cellStyle name="集計 2 2 4 2 2" xfId="1190"/>
    <cellStyle name="集計 2 2 4 3" xfId="1191"/>
    <cellStyle name="集計 2 2 4 3 2" xfId="1192"/>
    <cellStyle name="集計 2 2 4 4" xfId="1193"/>
    <cellStyle name="集計 2 2 5" xfId="1194"/>
    <cellStyle name="集計 2 3" xfId="1195"/>
    <cellStyle name="集計 2 3 2" xfId="1196"/>
    <cellStyle name="集計 2 3 2 2" xfId="1197"/>
    <cellStyle name="集計 2 3 3" xfId="1198"/>
    <cellStyle name="集計 2 3 3 2" xfId="1199"/>
    <cellStyle name="集計 2 3 4" xfId="1200"/>
    <cellStyle name="集計 2 3 4 2" xfId="1201"/>
    <cellStyle name="集計 2 3 5" xfId="1202"/>
    <cellStyle name="集計 2 3 6" xfId="1203"/>
    <cellStyle name="集計 2 3 7" xfId="1204"/>
    <cellStyle name="集計 2 3 8" xfId="1205"/>
    <cellStyle name="集計 2 4" xfId="1206"/>
    <cellStyle name="集計 2 4 2" xfId="1207"/>
    <cellStyle name="集計 2 4 2 2" xfId="1208"/>
    <cellStyle name="集計 2 4 3" xfId="1209"/>
    <cellStyle name="集計 2 4 3 2" xfId="1210"/>
    <cellStyle name="集計 2 4 4" xfId="1211"/>
    <cellStyle name="集計 2 4 4 2" xfId="1212"/>
    <cellStyle name="集計 2 4 5" xfId="1213"/>
    <cellStyle name="集計 2 4 6" xfId="1214"/>
    <cellStyle name="集計 2 4 7" xfId="1215"/>
    <cellStyle name="集計 2 5" xfId="1216"/>
    <cellStyle name="集計 2 5 2" xfId="1217"/>
    <cellStyle name="集計 2 5 2 2" xfId="1218"/>
    <cellStyle name="集計 2 5 3" xfId="1219"/>
    <cellStyle name="集計 2 5 3 2" xfId="1220"/>
    <cellStyle name="集計 2 5 4" xfId="1221"/>
    <cellStyle name="集計 2 6" xfId="1222"/>
    <cellStyle name="計算 2" xfId="1223"/>
    <cellStyle name="計算 2 2" xfId="1224"/>
    <cellStyle name="計算 2 2 2" xfId="1225"/>
    <cellStyle name="計算 2 2 2 2" xfId="1226"/>
    <cellStyle name="計算 2 2 2 2 2" xfId="1227"/>
    <cellStyle name="計算 2 2 2 3" xfId="1228"/>
    <cellStyle name="計算 2 2 2 3 2" xfId="1229"/>
    <cellStyle name="計算 2 2 2 4" xfId="1230"/>
    <cellStyle name="計算 2 2 2 4 2" xfId="1231"/>
    <cellStyle name="計算 2 2 2 5" xfId="1232"/>
    <cellStyle name="計算 2 2 2 6" xfId="1233"/>
    <cellStyle name="計算 2 2 2 7" xfId="1234"/>
    <cellStyle name="計算 2 2 2 8" xfId="1235"/>
    <cellStyle name="計算 2 2 3" xfId="1236"/>
    <cellStyle name="計算 2 2 3 2" xfId="1237"/>
    <cellStyle name="計算 2 2 3 2 2" xfId="1238"/>
    <cellStyle name="計算 2 2 3 3" xfId="1239"/>
    <cellStyle name="計算 2 2 3 3 2" xfId="1240"/>
    <cellStyle name="計算 2 2 3 4" xfId="1241"/>
    <cellStyle name="計算 2 2 3 4 2" xfId="1242"/>
    <cellStyle name="計算 2 2 3 5" xfId="1243"/>
    <cellStyle name="計算 2 2 3 6" xfId="1244"/>
    <cellStyle name="計算 2 2 3 7" xfId="1245"/>
    <cellStyle name="計算 2 2 4" xfId="1246"/>
    <cellStyle name="計算 2 2 4 2" xfId="1247"/>
    <cellStyle name="計算 2 2 4 2 2" xfId="1248"/>
    <cellStyle name="計算 2 2 4 3" xfId="1249"/>
    <cellStyle name="計算 2 2 4 3 2" xfId="1250"/>
    <cellStyle name="計算 2 2 4 4" xfId="1251"/>
    <cellStyle name="計算 2 2 5" xfId="1252"/>
    <cellStyle name="計算 2 3" xfId="1253"/>
    <cellStyle name="計算 2 3 2" xfId="1254"/>
    <cellStyle name="計算 2 3 2 2" xfId="1255"/>
    <cellStyle name="計算 2 3 3" xfId="1256"/>
    <cellStyle name="計算 2 3 3 2" xfId="1257"/>
    <cellStyle name="計算 2 3 4" xfId="1258"/>
    <cellStyle name="計算 2 3 4 2" xfId="1259"/>
    <cellStyle name="計算 2 3 5" xfId="1260"/>
    <cellStyle name="計算 2 3 6" xfId="1261"/>
    <cellStyle name="計算 2 3 7" xfId="1262"/>
    <cellStyle name="計算 2 3 8" xfId="1263"/>
    <cellStyle name="計算 2 4" xfId="1264"/>
    <cellStyle name="計算 2 4 2" xfId="1265"/>
    <cellStyle name="計算 2 4 2 2" xfId="1266"/>
    <cellStyle name="計算 2 4 3" xfId="1267"/>
    <cellStyle name="計算 2 4 3 2" xfId="1268"/>
    <cellStyle name="計算 2 4 4" xfId="1269"/>
    <cellStyle name="計算 2 4 4 2" xfId="1270"/>
    <cellStyle name="計算 2 4 5" xfId="1271"/>
    <cellStyle name="計算 2 4 6" xfId="1272"/>
    <cellStyle name="計算 2 4 7" xfId="1273"/>
    <cellStyle name="計算 2 5" xfId="1274"/>
    <cellStyle name="計算 2 5 2" xfId="1275"/>
    <cellStyle name="計算 2 5 2 2" xfId="1276"/>
    <cellStyle name="計算 2 5 3" xfId="1277"/>
    <cellStyle name="計算 2 5 3 2" xfId="1278"/>
    <cellStyle name="計算 2 5 4" xfId="1279"/>
    <cellStyle name="計算 2 6" xfId="1280"/>
    <cellStyle name="見出し 1 2" xfId="1281"/>
    <cellStyle name="見出し 2 2" xfId="1282"/>
    <cellStyle name="見出し 3 2" xfId="1283"/>
    <cellStyle name="見出し 4 2" xfId="1284"/>
    <cellStyle name="警告文 2" xfId="1285"/>
    <cellStyle name="良い 2" xfId="1286"/>
    <cellStyle name="入力 2" xfId="1287"/>
    <cellStyle name="入力 2 2" xfId="1288"/>
    <cellStyle name="入力 2 2 2" xfId="1289"/>
    <cellStyle name="入力 2 2 2 2" xfId="1290"/>
    <cellStyle name="入力 2 2 2 2 2" xfId="1291"/>
    <cellStyle name="入力 2 2 2 3" xfId="1292"/>
    <cellStyle name="入力 2 2 2 3 2" xfId="1293"/>
    <cellStyle name="入力 2 2 2 4" xfId="1294"/>
    <cellStyle name="入力 2 2 2 4 2" xfId="1295"/>
    <cellStyle name="入力 2 2 2 5" xfId="1296"/>
    <cellStyle name="入力 2 2 2 6" xfId="1297"/>
    <cellStyle name="入力 2 2 2 7" xfId="1298"/>
    <cellStyle name="入力 2 2 2 8" xfId="1299"/>
    <cellStyle name="入力 2 2 3" xfId="1300"/>
    <cellStyle name="入力 2 2 3 2" xfId="1301"/>
    <cellStyle name="入力 2 2 3 2 2" xfId="1302"/>
    <cellStyle name="入力 2 2 3 3" xfId="1303"/>
    <cellStyle name="入力 2 2 3 3 2" xfId="1304"/>
    <cellStyle name="入力 2 2 3 4" xfId="1305"/>
    <cellStyle name="入力 2 2 3 4 2" xfId="1306"/>
    <cellStyle name="入力 2 2 3 5" xfId="1307"/>
    <cellStyle name="入力 2 2 3 6" xfId="1308"/>
    <cellStyle name="入力 2 2 3 7" xfId="1309"/>
    <cellStyle name="入力 2 2 4" xfId="1310"/>
    <cellStyle name="入力 2 2 4 2" xfId="1311"/>
    <cellStyle name="入力 2 2 4 2 2" xfId="1312"/>
    <cellStyle name="入力 2 2 4 3" xfId="1313"/>
    <cellStyle name="入力 2 2 4 3 2" xfId="1314"/>
    <cellStyle name="入力 2 2 4 4" xfId="1315"/>
    <cellStyle name="入力 2 2 5" xfId="1316"/>
    <cellStyle name="入力 2 3" xfId="1317"/>
    <cellStyle name="入力 2 3 2" xfId="1318"/>
    <cellStyle name="入力 2 3 2 2" xfId="1319"/>
    <cellStyle name="入力 2 3 3" xfId="1320"/>
    <cellStyle name="入力 2 3 3 2" xfId="1321"/>
    <cellStyle name="入力 2 3 4" xfId="1322"/>
    <cellStyle name="入力 2 3 4 2" xfId="1323"/>
    <cellStyle name="入力 2 3 5" xfId="1324"/>
    <cellStyle name="入力 2 3 6" xfId="1325"/>
    <cellStyle name="入力 2 3 7" xfId="1326"/>
    <cellStyle name="入力 2 3 8" xfId="1327"/>
    <cellStyle name="入力 2 4" xfId="1328"/>
    <cellStyle name="入力 2 4 2" xfId="1329"/>
    <cellStyle name="入力 2 4 2 2" xfId="1330"/>
    <cellStyle name="入力 2 4 3" xfId="1331"/>
    <cellStyle name="入力 2 4 3 2" xfId="1332"/>
    <cellStyle name="入力 2 4 4" xfId="1333"/>
    <cellStyle name="入力 2 4 4 2" xfId="1334"/>
    <cellStyle name="入力 2 4 5" xfId="1335"/>
    <cellStyle name="入力 2 4 6" xfId="1336"/>
    <cellStyle name="入力 2 4 7" xfId="1337"/>
    <cellStyle name="入力 2 5" xfId="1338"/>
    <cellStyle name="入力 2 5 2" xfId="1339"/>
    <cellStyle name="入力 2 5 2 2" xfId="1340"/>
    <cellStyle name="入力 2 5 3" xfId="1341"/>
    <cellStyle name="入力 2 5 3 2" xfId="1342"/>
    <cellStyle name="入力 2 5 4" xfId="1343"/>
    <cellStyle name="入力 2 6" xfId="1344"/>
    <cellStyle name="説明文 2" xfId="1345"/>
    <cellStyle name="通貨 2" xfId="1346"/>
    <cellStyle name="通貨 2 2" xfId="1347"/>
    <cellStyle name="通貨 2 2 2" xfId="1348"/>
    <cellStyle name="通貨 2 2 2 2" xfId="1349"/>
    <cellStyle name="通貨 2 2 3" xfId="1350"/>
    <cellStyle name="通貨 2 2 3 2" xfId="1351"/>
    <cellStyle name="通貨 2 2 4" xfId="1352"/>
    <cellStyle name="通貨 2 3" xfId="1353"/>
    <cellStyle name="通貨 2 3 2" xfId="1354"/>
    <cellStyle name="通貨 2 3 2 2" xfId="1355"/>
    <cellStyle name="通貨 2 3 3" xfId="1356"/>
    <cellStyle name="通貨 2 4" xfId="1357"/>
    <cellStyle name="通貨 2 4 2" xfId="1358"/>
    <cellStyle name="通貨 2 4 3" xfId="1359"/>
    <cellStyle name="通貨 2 5" xfId="1360"/>
    <cellStyle name="通貨 2 5 2" xfId="1361"/>
    <cellStyle name="通貨 2 6" xfId="1362"/>
    <cellStyle name="通貨 2 7" xfId="1363"/>
    <cellStyle name="未定義" xfId="1364"/>
    <cellStyle name="原価計算" xfId="1365"/>
    <cellStyle name="표준_07. messagesiyosho" xfId="1366"/>
  </cellStyles>
  <tableStyles count="1" defaultTableStyle="TableStyleMedium2" defaultPivotStyle="PivotStyleLight16">
    <tableStyle name="Invisible" pivot="0" table="0" count="0" xr9:uid="{CEE74524-96B2-40C7-A0E7-F84A954CA4E1}"/>
  </tableStyles>
  <colors>
    <mruColors>
      <color rgb="00F7F7F7"/>
      <color rgb="0043ACC9"/>
      <color rgb="00EBF1B5"/>
      <color rgb="00FFFF00"/>
      <color rgb="007F7F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8/swagger-ui.html#/admin-list-controller/getUserInfoUsing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41"/>
  <sheetViews>
    <sheetView view="pageBreakPreview" zoomScaleNormal="85" topLeftCell="A5" workbookViewId="0">
      <selection activeCell="A1" sqref="A1"/>
    </sheetView>
  </sheetViews>
  <sheetFormatPr defaultColWidth="2.625" defaultRowHeight="12.6"/>
  <cols>
    <col min="1" max="1" width="2.625" style="233" customWidth="1"/>
    <col min="2" max="2" width="2.625" style="233"/>
    <col min="3" max="3" width="5.33333333333333" style="233"/>
    <col min="4" max="16384" width="2.625" style="233"/>
  </cols>
  <sheetData>
    <row r="1" ht="15" spans="1:49">
      <c r="A1" s="234"/>
    </row>
    <row r="7" ht="27" spans="1:49">
      <c r="B7" s="235"/>
    </row>
    <row r="9" spans="1:49">
      <c r="AA9" s="236" t="s">
        <v>0</v>
      </c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</row>
    <row r="10" spans="1:49"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</row>
    <row r="11" spans="1:49"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</row>
    <row r="12" spans="1:49"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</row>
    <row r="13" spans="1:49"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</row>
    <row r="14" spans="1:49"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</row>
    <row r="15" spans="1:49"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</row>
    <row r="16" spans="1:49"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</row>
    <row r="17" spans="1:55">
      <c r="S17" s="237" t="str">
        <f>改訂履歴!A2</f>
        <v>FN1009_004_管理者情報取得API</v>
      </c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</row>
    <row r="18" spans="1:55"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</row>
    <row r="19" spans="1:55"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</row>
    <row r="20" spans="1:55">
      <c r="AJ20" s="238"/>
    </row>
    <row r="24" spans="1:55">
      <c r="AI24" s="239" t="s">
        <v>1</v>
      </c>
      <c r="AJ24" s="239"/>
      <c r="AK24" s="239"/>
      <c r="AL24" s="239"/>
      <c r="AM24" s="239"/>
      <c r="AN24" s="239"/>
      <c r="AO24" s="239"/>
    </row>
    <row r="25" spans="1:55">
      <c r="AI25" s="239"/>
      <c r="AJ25" s="239"/>
      <c r="AK25" s="239"/>
      <c r="AL25" s="239"/>
      <c r="AM25" s="239"/>
      <c r="AN25" s="239"/>
      <c r="AO25" s="239"/>
    </row>
    <row r="26" spans="1:55">
      <c r="A26" s="240"/>
      <c r="B26" s="240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AG26" s="239" t="s">
        <v>2</v>
      </c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</row>
    <row r="27" ht="27" spans="1:55">
      <c r="A27" s="241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</row>
    <row r="28" spans="1:55">
      <c r="A28" s="240"/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</row>
    <row r="29" ht="15" spans="1:55">
      <c r="A29" s="242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</row>
    <row r="30" ht="15" customHeight="1" spans="1:55">
      <c r="A30" s="240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</row>
    <row r="31" ht="27" spans="1:55">
      <c r="A31" s="241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</row>
    <row r="32" ht="27" spans="1:55">
      <c r="A32" s="241"/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</row>
    <row r="33" ht="27" spans="1:18">
      <c r="A33" s="241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</row>
    <row r="34" spans="1:18">
      <c r="A34" s="240"/>
      <c r="B34" s="240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</row>
    <row r="35" ht="15" customHeight="1" spans="1:18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</row>
    <row r="36" customHeight="1" spans="1:18"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</row>
    <row r="37" spans="1:18"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</row>
    <row r="38" spans="1:18"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</row>
    <row r="39" spans="1:18"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  <row r="40" spans="1:18"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</row>
    <row r="41" spans="1:18"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</row>
  </sheetData>
  <mergeCells count="4">
    <mergeCell ref="AA9:AW16"/>
    <mergeCell ref="S17:BC19"/>
    <mergeCell ref="AI24:AO25"/>
    <mergeCell ref="AG26:AQ27"/>
  </mergeCells>
  <pageMargins left="0.708661417322835" right="0.708661417322835" top="0.748031496062992" bottom="0.748031496062992" header="0.31496062992126" footer="0.31496062992126"/>
  <pageSetup paperSize="9" scale="8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1"/>
  </cols>
  <sheetData>
    <row r="2" ht="42" customHeight="1"/>
    <row r="4" ht="15" spans="4:65">
      <c r="D4" s="210" t="s">
        <v>3</v>
      </c>
      <c r="E4" s="211"/>
      <c r="F4" s="211"/>
      <c r="G4" s="211"/>
      <c r="H4" s="212"/>
      <c r="I4" s="213" t="s">
        <v>4</v>
      </c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</row>
    <row r="5" ht="15" spans="4:65">
      <c r="D5" s="215"/>
      <c r="E5" s="216"/>
      <c r="F5" s="216"/>
      <c r="G5" s="216"/>
      <c r="H5" s="217"/>
      <c r="I5" s="215" t="s">
        <v>5</v>
      </c>
      <c r="J5" s="218"/>
      <c r="K5" s="218"/>
      <c r="L5" s="218"/>
      <c r="M5" s="218"/>
      <c r="N5" s="218"/>
      <c r="O5" s="218"/>
      <c r="P5" s="218"/>
      <c r="Q5" s="218"/>
      <c r="R5" s="218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9"/>
      <c r="BI5" s="216"/>
      <c r="BJ5" s="216"/>
      <c r="BK5" s="216"/>
      <c r="BL5" s="216"/>
      <c r="BM5" s="217"/>
    </row>
    <row r="6" ht="15" spans="4:65">
      <c r="D6" s="215"/>
      <c r="E6" s="216"/>
      <c r="F6" s="216"/>
      <c r="G6" s="216"/>
      <c r="H6" s="217"/>
      <c r="I6" s="215"/>
      <c r="J6" s="218" t="s">
        <v>6</v>
      </c>
      <c r="K6" s="218"/>
      <c r="L6" s="218"/>
      <c r="M6" s="218"/>
      <c r="N6" s="218"/>
      <c r="O6" s="218"/>
      <c r="P6" s="218"/>
      <c r="Q6" s="218"/>
      <c r="R6" s="218"/>
      <c r="S6" s="216"/>
      <c r="T6" s="216"/>
      <c r="U6" s="216"/>
      <c r="V6" s="216"/>
      <c r="W6" s="216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9"/>
      <c r="BI6" s="216"/>
      <c r="BJ6" s="216"/>
      <c r="BK6" s="216"/>
      <c r="BL6" s="216"/>
      <c r="BM6" s="217"/>
    </row>
    <row r="7" ht="15" spans="4:65">
      <c r="D7" s="215"/>
      <c r="E7" s="216"/>
      <c r="F7" s="216"/>
      <c r="G7" s="216"/>
      <c r="H7" s="217"/>
      <c r="I7" s="215"/>
      <c r="J7" s="218"/>
      <c r="K7" s="218" t="s">
        <v>7</v>
      </c>
      <c r="L7" s="218"/>
      <c r="M7" s="218"/>
      <c r="N7" s="218"/>
      <c r="O7" s="218"/>
      <c r="P7" s="218"/>
      <c r="Q7" s="218"/>
      <c r="R7" s="218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6"/>
      <c r="AF7" s="216"/>
      <c r="AG7" s="216"/>
      <c r="AH7" s="216"/>
      <c r="AI7" s="216"/>
      <c r="AJ7" s="216"/>
      <c r="AK7" s="216"/>
      <c r="AL7" s="216"/>
      <c r="AM7" s="216"/>
      <c r="AN7" s="216"/>
      <c r="AO7" s="216"/>
      <c r="AP7" s="216"/>
      <c r="AQ7" s="216"/>
      <c r="AR7" s="216"/>
      <c r="AS7" s="216"/>
      <c r="AT7" s="216"/>
      <c r="AU7" s="216"/>
      <c r="AV7" s="216"/>
      <c r="AW7" s="216"/>
      <c r="AX7" s="216"/>
      <c r="AY7" s="216"/>
      <c r="AZ7" s="216"/>
      <c r="BA7" s="216"/>
      <c r="BB7" s="216"/>
      <c r="BC7" s="216"/>
      <c r="BD7" s="216"/>
      <c r="BE7" s="216"/>
      <c r="BF7" s="216"/>
      <c r="BG7" s="216"/>
      <c r="BH7" s="219"/>
      <c r="BI7" s="216"/>
      <c r="BJ7" s="216"/>
      <c r="BK7" s="216"/>
      <c r="BL7" s="216"/>
      <c r="BM7" s="217"/>
    </row>
    <row r="8" ht="15" spans="4:65">
      <c r="D8" s="215"/>
      <c r="E8" s="216"/>
      <c r="F8" s="216"/>
      <c r="G8" s="216"/>
      <c r="H8" s="217"/>
      <c r="I8" s="215"/>
      <c r="J8" s="218"/>
      <c r="K8" s="218"/>
      <c r="L8" s="218"/>
      <c r="M8" s="218" t="s">
        <v>8</v>
      </c>
      <c r="N8" s="218"/>
      <c r="O8" s="218"/>
      <c r="P8" s="218"/>
      <c r="Q8" s="218"/>
      <c r="R8" s="218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6"/>
      <c r="AL8" s="216"/>
      <c r="AM8" s="216"/>
      <c r="AN8" s="216"/>
      <c r="AO8" s="216"/>
      <c r="AP8" s="216"/>
      <c r="AQ8" s="216"/>
      <c r="AR8" s="216"/>
      <c r="AS8" s="216"/>
      <c r="AT8" s="216"/>
      <c r="AU8" s="216"/>
      <c r="AV8" s="216"/>
      <c r="AW8" s="216"/>
      <c r="AX8" s="216"/>
      <c r="AY8" s="216"/>
      <c r="AZ8" s="216"/>
      <c r="BA8" s="216"/>
      <c r="BB8" s="216"/>
      <c r="BC8" s="216"/>
      <c r="BD8" s="216"/>
      <c r="BE8" s="216"/>
      <c r="BF8" s="216"/>
      <c r="BG8" s="216"/>
      <c r="BH8" s="219"/>
      <c r="BI8" s="216"/>
      <c r="BJ8" s="216"/>
      <c r="BK8" s="216"/>
      <c r="BL8" s="216"/>
      <c r="BM8" s="217"/>
    </row>
    <row r="9" ht="15" spans="4:65">
      <c r="D9" s="215"/>
      <c r="E9" s="216"/>
      <c r="F9" s="216"/>
      <c r="G9" s="216"/>
      <c r="H9" s="217"/>
      <c r="I9" s="215"/>
      <c r="J9" s="218" t="s">
        <v>9</v>
      </c>
      <c r="K9" s="218"/>
      <c r="L9" s="218"/>
      <c r="M9" s="218"/>
      <c r="N9" s="218"/>
      <c r="O9" s="218"/>
      <c r="P9" s="218"/>
      <c r="Q9" s="218"/>
      <c r="R9" s="218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9"/>
      <c r="BI9" s="216"/>
      <c r="BJ9" s="216"/>
      <c r="BK9" s="216"/>
      <c r="BL9" s="216"/>
      <c r="BM9" s="217"/>
    </row>
    <row r="10" ht="15" spans="4:65">
      <c r="D10" s="215"/>
      <c r="E10" s="216"/>
      <c r="F10" s="216"/>
      <c r="G10" s="216"/>
      <c r="H10" s="217"/>
      <c r="I10" s="215"/>
      <c r="J10" s="218"/>
      <c r="K10" s="218" t="s">
        <v>10</v>
      </c>
      <c r="L10" s="218"/>
      <c r="M10" s="218"/>
      <c r="N10" s="218"/>
      <c r="O10" s="218"/>
      <c r="P10" s="218"/>
      <c r="Q10" s="218"/>
      <c r="R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/>
      <c r="AY10" s="216"/>
      <c r="AZ10" s="216"/>
      <c r="BA10" s="216"/>
      <c r="BB10" s="216"/>
      <c r="BC10" s="216"/>
      <c r="BD10" s="216"/>
      <c r="BE10" s="216"/>
      <c r="BF10" s="216"/>
      <c r="BG10" s="216"/>
      <c r="BH10" s="219"/>
      <c r="BI10" s="216"/>
      <c r="BJ10" s="216"/>
      <c r="BK10" s="216"/>
      <c r="BL10" s="216"/>
      <c r="BM10" s="217"/>
    </row>
    <row r="11" ht="15" spans="4:65">
      <c r="D11" s="215"/>
      <c r="E11" s="216"/>
      <c r="F11" s="216"/>
      <c r="G11" s="216"/>
      <c r="H11" s="217"/>
      <c r="I11" s="215"/>
      <c r="J11" s="218"/>
      <c r="K11" s="218"/>
      <c r="L11" s="218"/>
      <c r="M11" s="218" t="s">
        <v>11</v>
      </c>
      <c r="N11" s="218"/>
      <c r="O11" s="218"/>
      <c r="P11" s="218"/>
      <c r="Q11" s="218"/>
      <c r="R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16"/>
      <c r="AT11" s="216"/>
      <c r="AU11" s="216"/>
      <c r="AV11" s="216"/>
      <c r="AW11" s="216"/>
      <c r="AX11" s="216"/>
      <c r="AY11" s="216"/>
      <c r="AZ11" s="216"/>
      <c r="BA11" s="216"/>
      <c r="BB11" s="216"/>
      <c r="BC11" s="216"/>
      <c r="BD11" s="216"/>
      <c r="BE11" s="216"/>
      <c r="BF11" s="216"/>
      <c r="BG11" s="216"/>
      <c r="BH11" s="219"/>
      <c r="BI11" s="216"/>
      <c r="BJ11" s="216"/>
      <c r="BK11" s="216"/>
      <c r="BL11" s="216"/>
      <c r="BM11" s="217"/>
    </row>
    <row r="12" ht="15" spans="4:65">
      <c r="D12" s="215"/>
      <c r="E12" s="216"/>
      <c r="F12" s="216"/>
      <c r="G12" s="216"/>
      <c r="H12" s="217"/>
      <c r="I12" s="215"/>
      <c r="J12" s="218"/>
      <c r="K12" s="218" t="s">
        <v>12</v>
      </c>
      <c r="L12" s="218"/>
      <c r="M12" s="218"/>
      <c r="N12" s="218"/>
      <c r="O12" s="218"/>
      <c r="P12" s="218"/>
      <c r="Q12" s="218"/>
      <c r="R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/>
      <c r="AP12" s="216"/>
      <c r="AQ12" s="216"/>
      <c r="AR12" s="216"/>
      <c r="AS12" s="216"/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6"/>
      <c r="BF12" s="216"/>
      <c r="BG12" s="216"/>
      <c r="BH12" s="219"/>
      <c r="BI12" s="216"/>
      <c r="BJ12" s="216"/>
      <c r="BK12" s="216"/>
      <c r="BL12" s="216"/>
      <c r="BM12" s="217"/>
    </row>
    <row r="13" ht="15" spans="4:65">
      <c r="D13" s="215"/>
      <c r="E13" s="216"/>
      <c r="F13" s="216"/>
      <c r="G13" s="216"/>
      <c r="H13" s="217"/>
      <c r="I13" s="215"/>
      <c r="J13" s="218"/>
      <c r="K13" s="218"/>
      <c r="L13" s="218"/>
      <c r="M13" s="218" t="s">
        <v>13</v>
      </c>
      <c r="N13" s="218"/>
      <c r="O13" s="218"/>
      <c r="P13" s="218"/>
      <c r="Q13" s="218"/>
      <c r="R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9"/>
      <c r="BI13" s="216"/>
      <c r="BJ13" s="216"/>
      <c r="BK13" s="216"/>
      <c r="BL13" s="216"/>
      <c r="BM13" s="217"/>
    </row>
    <row r="14" ht="15" spans="4:65">
      <c r="D14" s="215"/>
      <c r="E14" s="216"/>
      <c r="F14" s="216"/>
      <c r="G14" s="216"/>
      <c r="H14" s="217"/>
      <c r="I14" s="215"/>
      <c r="J14" s="218"/>
      <c r="K14" s="218"/>
      <c r="L14" s="218"/>
      <c r="M14" s="218"/>
      <c r="N14" s="218"/>
      <c r="O14" s="218"/>
      <c r="P14" s="218"/>
      <c r="Q14" s="218"/>
      <c r="R14" s="218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6"/>
      <c r="BH14" s="219"/>
      <c r="BI14" s="216"/>
      <c r="BJ14" s="216"/>
      <c r="BK14" s="216"/>
      <c r="BL14" s="216"/>
      <c r="BM14" s="217"/>
    </row>
    <row r="15" ht="15" spans="4:65">
      <c r="D15" s="215"/>
      <c r="E15" s="216"/>
      <c r="F15" s="216"/>
      <c r="G15" s="216"/>
      <c r="H15" s="217"/>
      <c r="I15" s="215" t="s">
        <v>14</v>
      </c>
      <c r="J15" s="218"/>
      <c r="K15" s="218"/>
      <c r="L15" s="218"/>
      <c r="M15" s="218"/>
      <c r="N15" s="218"/>
      <c r="O15" s="218"/>
      <c r="P15" s="218"/>
      <c r="Q15" s="218"/>
      <c r="R15" s="218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6"/>
      <c r="BH15" s="219"/>
      <c r="BI15" s="216"/>
      <c r="BJ15" s="216"/>
      <c r="BK15" s="216"/>
      <c r="BL15" s="216"/>
      <c r="BM15" s="217"/>
    </row>
    <row r="16" ht="15" spans="4:65">
      <c r="D16" s="215"/>
      <c r="E16" s="216"/>
      <c r="F16" s="216"/>
      <c r="G16" s="216"/>
      <c r="H16" s="217"/>
      <c r="I16" s="215"/>
      <c r="J16" s="220" t="s">
        <v>15</v>
      </c>
      <c r="K16" s="218"/>
      <c r="L16" s="218"/>
      <c r="M16" s="218"/>
      <c r="N16" s="218"/>
      <c r="O16" s="218"/>
      <c r="P16" s="218"/>
      <c r="Q16" s="218"/>
      <c r="R16" s="218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216"/>
      <c r="BG16" s="216"/>
      <c r="BH16" s="219"/>
      <c r="BI16" s="216"/>
      <c r="BJ16" s="216"/>
      <c r="BK16" s="216"/>
      <c r="BL16" s="216"/>
      <c r="BM16" s="217"/>
    </row>
    <row r="17" ht="15" spans="4:65">
      <c r="D17" s="215"/>
      <c r="E17" s="216"/>
      <c r="F17" s="216"/>
      <c r="G17" s="216"/>
      <c r="H17" s="217"/>
      <c r="I17" s="215"/>
      <c r="J17" s="218"/>
      <c r="K17" s="218" t="s">
        <v>7</v>
      </c>
      <c r="L17" s="218"/>
      <c r="M17" s="218"/>
      <c r="N17" s="218"/>
      <c r="O17" s="218"/>
      <c r="P17" s="218"/>
      <c r="Q17" s="218"/>
      <c r="R17" s="218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6"/>
      <c r="BH17" s="219"/>
      <c r="BI17" s="216"/>
      <c r="BJ17" s="216"/>
      <c r="BK17" s="216"/>
      <c r="BL17" s="216"/>
      <c r="BM17" s="217"/>
    </row>
    <row r="18" ht="15" spans="4:65">
      <c r="D18" s="215"/>
      <c r="E18" s="216"/>
      <c r="F18" s="216"/>
      <c r="G18" s="216"/>
      <c r="H18" s="217"/>
      <c r="I18" s="215"/>
      <c r="J18" s="218"/>
      <c r="K18" s="218"/>
      <c r="L18" s="218"/>
      <c r="M18" s="218" t="s">
        <v>16</v>
      </c>
      <c r="N18" s="218"/>
      <c r="O18" s="218"/>
      <c r="P18" s="218"/>
      <c r="Q18" s="218"/>
      <c r="R18" s="218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9"/>
      <c r="BI18" s="216"/>
      <c r="BJ18" s="216"/>
      <c r="BK18" s="216"/>
      <c r="BL18" s="216"/>
      <c r="BM18" s="217"/>
    </row>
    <row r="19" ht="15" spans="4:65">
      <c r="D19" s="215"/>
      <c r="E19" s="216"/>
      <c r="F19" s="216"/>
      <c r="G19" s="216"/>
      <c r="H19" s="217"/>
      <c r="I19" s="215"/>
      <c r="J19" s="218"/>
      <c r="K19" s="218" t="s">
        <v>17</v>
      </c>
      <c r="L19" s="218"/>
      <c r="M19" s="218"/>
      <c r="N19" s="218"/>
      <c r="O19" s="218"/>
      <c r="P19" s="218"/>
      <c r="Q19" s="218"/>
      <c r="R19" s="218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6"/>
      <c r="BH19" s="219"/>
      <c r="BI19" s="216"/>
      <c r="BJ19" s="216"/>
      <c r="BK19" s="216"/>
      <c r="BL19" s="216"/>
      <c r="BM19" s="217"/>
    </row>
    <row r="20" ht="15" spans="4:65">
      <c r="D20" s="215"/>
      <c r="E20" s="216"/>
      <c r="F20" s="216"/>
      <c r="G20" s="216"/>
      <c r="H20" s="217"/>
      <c r="I20" s="215"/>
      <c r="J20" s="218"/>
      <c r="K20" s="218"/>
      <c r="L20" s="218"/>
      <c r="M20" s="218" t="s">
        <v>18</v>
      </c>
      <c r="N20" s="218" t="s">
        <v>19</v>
      </c>
      <c r="O20" s="218"/>
      <c r="P20" s="218"/>
      <c r="Q20" s="218"/>
      <c r="R20" s="218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  <c r="BM20" s="217"/>
    </row>
    <row r="21" ht="15" spans="4:65">
      <c r="D21" s="215"/>
      <c r="E21" s="216"/>
      <c r="F21" s="216"/>
      <c r="G21" s="216"/>
      <c r="H21" s="217"/>
      <c r="I21" s="215"/>
      <c r="J21" s="218"/>
      <c r="K21" s="218"/>
      <c r="L21" s="218"/>
      <c r="M21" s="218" t="s">
        <v>18</v>
      </c>
      <c r="N21" s="218" t="s">
        <v>20</v>
      </c>
      <c r="O21" s="218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6"/>
      <c r="BK21" s="216"/>
      <c r="BL21" s="216"/>
      <c r="BM21" s="217"/>
    </row>
    <row r="22" ht="15" spans="4:65">
      <c r="D22" s="215"/>
      <c r="E22" s="216"/>
      <c r="F22" s="216"/>
      <c r="G22" s="216"/>
      <c r="H22" s="217"/>
      <c r="I22" s="215"/>
      <c r="J22" s="218" t="s">
        <v>21</v>
      </c>
      <c r="K22" s="218"/>
      <c r="L22" s="218"/>
      <c r="M22" s="218"/>
      <c r="N22" s="218"/>
      <c r="O22" s="218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6"/>
      <c r="BH22" s="216"/>
      <c r="BI22" s="216"/>
      <c r="BJ22" s="216"/>
      <c r="BK22" s="216"/>
      <c r="BL22" s="216"/>
      <c r="BM22" s="217"/>
    </row>
    <row r="23" ht="15" spans="4:65">
      <c r="D23" s="215"/>
      <c r="E23" s="216"/>
      <c r="F23" s="216"/>
      <c r="G23" s="216"/>
      <c r="H23" s="217"/>
      <c r="I23" s="215"/>
      <c r="J23" s="218"/>
      <c r="K23" s="218" t="s">
        <v>22</v>
      </c>
      <c r="L23" s="218"/>
      <c r="M23" s="218"/>
      <c r="N23" s="218"/>
      <c r="O23" s="218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7"/>
    </row>
    <row r="24" ht="15" spans="4:65">
      <c r="D24" s="215"/>
      <c r="E24" s="216"/>
      <c r="F24" s="216"/>
      <c r="G24" s="216"/>
      <c r="H24" s="217"/>
      <c r="I24" s="215"/>
      <c r="J24" s="218"/>
      <c r="K24" s="218"/>
      <c r="L24" s="218"/>
      <c r="M24" s="218" t="s">
        <v>11</v>
      </c>
      <c r="N24" s="218"/>
      <c r="O24" s="218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7"/>
    </row>
    <row r="25" ht="15" spans="4:65">
      <c r="D25" s="215"/>
      <c r="E25" s="216"/>
      <c r="F25" s="216"/>
      <c r="G25" s="216"/>
      <c r="H25" s="217"/>
      <c r="I25" s="215"/>
      <c r="J25" s="218"/>
      <c r="K25" s="218" t="s">
        <v>23</v>
      </c>
      <c r="L25" s="218"/>
      <c r="M25" s="218"/>
      <c r="N25" s="218"/>
      <c r="O25" s="218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216"/>
      <c r="BD25" s="216"/>
      <c r="BE25" s="216"/>
      <c r="BF25" s="216"/>
      <c r="BG25" s="216"/>
      <c r="BH25" s="216"/>
      <c r="BI25" s="216"/>
      <c r="BJ25" s="216"/>
      <c r="BK25" s="216"/>
      <c r="BL25" s="216"/>
      <c r="BM25" s="217"/>
    </row>
    <row r="26" ht="15" spans="4:65">
      <c r="D26" s="215"/>
      <c r="E26" s="216"/>
      <c r="F26" s="216"/>
      <c r="G26" s="216"/>
      <c r="H26" s="217"/>
      <c r="I26" s="215"/>
      <c r="J26" s="218"/>
      <c r="K26" s="218"/>
      <c r="L26" s="218"/>
      <c r="M26" s="218" t="s">
        <v>13</v>
      </c>
      <c r="N26" s="218"/>
      <c r="O26" s="218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7"/>
    </row>
    <row r="27" ht="15" spans="4:65">
      <c r="D27" s="215"/>
      <c r="E27" s="216"/>
      <c r="F27" s="216"/>
      <c r="G27" s="216"/>
      <c r="H27" s="217"/>
      <c r="I27" s="215"/>
      <c r="J27" s="218"/>
      <c r="K27" s="218"/>
      <c r="L27" s="218"/>
      <c r="M27" s="218"/>
      <c r="N27" s="218"/>
      <c r="O27" s="218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7"/>
    </row>
    <row r="28" ht="15" spans="4:65">
      <c r="D28" s="215"/>
      <c r="E28" s="216"/>
      <c r="F28" s="216"/>
      <c r="G28" s="216"/>
      <c r="H28" s="217"/>
      <c r="I28" s="215" t="s">
        <v>24</v>
      </c>
      <c r="J28" s="218"/>
      <c r="K28" s="218"/>
      <c r="L28" s="218"/>
      <c r="M28" s="218"/>
      <c r="N28" s="218"/>
      <c r="O28" s="218"/>
      <c r="P28" s="218"/>
      <c r="Q28" s="218"/>
      <c r="R28" s="218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9"/>
      <c r="BI28" s="216"/>
      <c r="BJ28" s="216"/>
      <c r="BK28" s="216"/>
      <c r="BL28" s="216"/>
      <c r="BM28" s="217"/>
    </row>
    <row r="29" ht="15" spans="4:65">
      <c r="D29" s="215"/>
      <c r="E29" s="216"/>
      <c r="F29" s="216"/>
      <c r="G29" s="216"/>
      <c r="H29" s="217"/>
      <c r="I29" s="215"/>
      <c r="J29" s="218" t="s">
        <v>25</v>
      </c>
      <c r="K29" s="218"/>
      <c r="L29" s="218"/>
      <c r="M29" s="218"/>
      <c r="N29" s="218"/>
      <c r="O29" s="218"/>
      <c r="P29" s="218"/>
      <c r="Q29" s="218"/>
      <c r="R29" s="218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9"/>
      <c r="BI29" s="216"/>
      <c r="BJ29" s="216"/>
      <c r="BK29" s="216"/>
      <c r="BL29" s="216"/>
      <c r="BM29" s="217"/>
    </row>
    <row r="30" ht="15" spans="4:65">
      <c r="D30" s="215"/>
      <c r="E30" s="216"/>
      <c r="F30" s="216"/>
      <c r="G30" s="216"/>
      <c r="H30" s="217"/>
      <c r="I30" s="215"/>
      <c r="J30" s="218"/>
      <c r="K30" s="218"/>
      <c r="L30" s="218"/>
      <c r="M30" s="218"/>
      <c r="N30" s="218"/>
      <c r="O30" s="218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16"/>
      <c r="BL30" s="216"/>
      <c r="BM30" s="217"/>
    </row>
    <row r="31" ht="15" spans="4:65">
      <c r="D31" s="215"/>
      <c r="E31" s="216"/>
      <c r="F31" s="216"/>
      <c r="G31" s="216"/>
      <c r="H31" s="217"/>
      <c r="I31" s="215" t="s">
        <v>26</v>
      </c>
      <c r="J31" s="218"/>
      <c r="K31" s="218"/>
      <c r="L31" s="218"/>
      <c r="M31" s="218"/>
      <c r="N31" s="218"/>
      <c r="O31" s="218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8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6"/>
      <c r="BK31" s="216"/>
      <c r="BL31" s="216"/>
      <c r="BM31" s="217"/>
    </row>
    <row r="32" ht="15" spans="4:65">
      <c r="D32" s="215"/>
      <c r="E32" s="216"/>
      <c r="F32" s="216"/>
      <c r="G32" s="216"/>
      <c r="H32" s="217"/>
      <c r="I32" s="215"/>
      <c r="J32" s="218" t="s">
        <v>27</v>
      </c>
      <c r="K32" s="218"/>
      <c r="L32" s="218"/>
      <c r="M32" s="218"/>
      <c r="N32" s="218"/>
      <c r="O32" s="218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  <c r="BK32" s="216"/>
      <c r="BL32" s="216"/>
      <c r="BM32" s="217"/>
    </row>
    <row r="33" ht="15" spans="4:65">
      <c r="D33" s="215"/>
      <c r="E33" s="216"/>
      <c r="F33" s="216"/>
      <c r="G33" s="216"/>
      <c r="H33" s="217"/>
      <c r="I33" s="215"/>
      <c r="J33" s="218"/>
      <c r="K33" s="218" t="s">
        <v>28</v>
      </c>
      <c r="L33" s="218"/>
      <c r="M33" s="218"/>
      <c r="N33" s="218"/>
      <c r="O33" s="218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6"/>
      <c r="BK33" s="216"/>
      <c r="BL33" s="216"/>
      <c r="BM33" s="217"/>
    </row>
    <row r="34" ht="15" spans="4:65">
      <c r="D34" s="215"/>
      <c r="E34" s="216"/>
      <c r="F34" s="216"/>
      <c r="G34" s="216"/>
      <c r="H34" s="217"/>
      <c r="I34" s="215"/>
      <c r="J34" s="218" t="s">
        <v>29</v>
      </c>
      <c r="K34" s="218"/>
      <c r="L34" s="218"/>
      <c r="M34" s="218"/>
      <c r="N34" s="218"/>
      <c r="O34" s="218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6"/>
      <c r="BK34" s="216"/>
      <c r="BL34" s="216"/>
      <c r="BM34" s="217"/>
    </row>
    <row r="35" s="209" customFormat="1" ht="15" spans="4:65">
      <c r="D35" s="221"/>
      <c r="E35" s="222"/>
      <c r="F35" s="222"/>
      <c r="G35" s="222"/>
      <c r="H35" s="223"/>
      <c r="I35" s="221"/>
      <c r="J35" s="224"/>
      <c r="K35" s="224" t="s">
        <v>30</v>
      </c>
      <c r="L35" s="224"/>
      <c r="M35" s="224"/>
      <c r="N35" s="224"/>
      <c r="O35" s="224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2"/>
      <c r="BI35" s="222"/>
      <c r="BJ35" s="222"/>
      <c r="BK35" s="222"/>
      <c r="BL35" s="222"/>
      <c r="BM35" s="223"/>
    </row>
    <row r="36" s="209" customFormat="1" ht="15" spans="4:65">
      <c r="D36" s="221"/>
      <c r="E36" s="222"/>
      <c r="F36" s="222"/>
      <c r="G36" s="222"/>
      <c r="H36" s="223"/>
      <c r="I36" s="221"/>
      <c r="J36" s="224"/>
      <c r="K36" s="224"/>
      <c r="L36" s="224" t="s">
        <v>31</v>
      </c>
      <c r="M36" s="224"/>
      <c r="N36" s="224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2"/>
      <c r="BJ36" s="222"/>
      <c r="BK36" s="222"/>
      <c r="BL36" s="222"/>
      <c r="BM36" s="223"/>
    </row>
    <row r="37" s="209" customFormat="1" ht="15" spans="4:65">
      <c r="D37" s="221"/>
      <c r="E37" s="222"/>
      <c r="F37" s="222"/>
      <c r="G37" s="222"/>
      <c r="H37" s="223"/>
      <c r="I37" s="222"/>
      <c r="J37" s="222"/>
      <c r="K37" s="222"/>
      <c r="L37" s="222"/>
      <c r="M37" s="222" t="s">
        <v>7</v>
      </c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2"/>
      <c r="BJ37" s="222"/>
      <c r="BK37" s="222"/>
      <c r="BL37" s="222"/>
      <c r="BM37" s="223"/>
    </row>
    <row r="38" s="209" customFormat="1" ht="15" spans="4:65">
      <c r="D38" s="221"/>
      <c r="E38" s="222"/>
      <c r="F38" s="222"/>
      <c r="G38" s="222"/>
      <c r="H38" s="223"/>
      <c r="I38" s="222"/>
      <c r="J38" s="222"/>
      <c r="K38" s="222"/>
      <c r="L38" s="222"/>
      <c r="M38" s="222"/>
      <c r="N38" s="222" t="s">
        <v>32</v>
      </c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2"/>
      <c r="BI38" s="222"/>
      <c r="BJ38" s="222"/>
      <c r="BK38" s="222"/>
      <c r="BL38" s="222"/>
      <c r="BM38" s="223"/>
    </row>
    <row r="39" s="209" customFormat="1" ht="15" spans="4:65">
      <c r="D39" s="221"/>
      <c r="E39" s="222"/>
      <c r="F39" s="222"/>
      <c r="G39" s="222"/>
      <c r="H39" s="223"/>
      <c r="I39" s="222"/>
      <c r="J39" s="222"/>
      <c r="K39" s="222"/>
      <c r="L39" s="222"/>
      <c r="M39" s="222" t="s">
        <v>17</v>
      </c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2"/>
      <c r="BI39" s="222"/>
      <c r="BJ39" s="222"/>
      <c r="BK39" s="222"/>
      <c r="BL39" s="222"/>
      <c r="BM39" s="223"/>
    </row>
    <row r="40" s="209" customFormat="1" ht="15" spans="4:65">
      <c r="D40" s="221"/>
      <c r="E40" s="222"/>
      <c r="F40" s="222"/>
      <c r="G40" s="222"/>
      <c r="H40" s="223"/>
      <c r="I40" s="222"/>
      <c r="J40" s="222"/>
      <c r="K40" s="222"/>
      <c r="L40" s="222"/>
      <c r="M40" s="222"/>
      <c r="N40" s="222" t="s">
        <v>18</v>
      </c>
      <c r="O40" s="222" t="s">
        <v>33</v>
      </c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222"/>
      <c r="BH40" s="222"/>
      <c r="BI40" s="222"/>
      <c r="BJ40" s="222"/>
      <c r="BK40" s="222"/>
      <c r="BL40" s="222"/>
      <c r="BM40" s="223"/>
    </row>
    <row r="41" ht="15" spans="4:65">
      <c r="D41" s="215"/>
      <c r="E41" s="216"/>
      <c r="F41" s="216"/>
      <c r="G41" s="216"/>
      <c r="H41" s="217"/>
      <c r="I41" s="215"/>
      <c r="J41" s="218"/>
      <c r="K41" s="218" t="s">
        <v>34</v>
      </c>
      <c r="L41" s="218"/>
      <c r="M41" s="218"/>
      <c r="N41" s="216"/>
      <c r="O41" s="216"/>
      <c r="P41" s="216"/>
      <c r="Q41" s="216"/>
      <c r="R41" s="216"/>
      <c r="S41" s="216"/>
      <c r="T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AX41" s="216"/>
      <c r="AY41" s="216"/>
      <c r="AZ41" s="216"/>
      <c r="BA41" s="216"/>
      <c r="BB41" s="216"/>
      <c r="BC41" s="216"/>
      <c r="BD41" s="216"/>
      <c r="BE41" s="216"/>
      <c r="BF41" s="216"/>
      <c r="BG41" s="216"/>
      <c r="BH41" s="216"/>
      <c r="BI41" s="216"/>
      <c r="BJ41" s="216"/>
      <c r="BK41" s="216"/>
      <c r="BL41" s="216"/>
      <c r="BM41" s="217"/>
    </row>
    <row r="42" ht="15" spans="4:65">
      <c r="D42" s="215"/>
      <c r="E42" s="216"/>
      <c r="F42" s="216"/>
      <c r="G42" s="216"/>
      <c r="H42" s="217"/>
      <c r="I42" s="216"/>
      <c r="J42" s="216"/>
      <c r="K42" s="218"/>
      <c r="L42" s="216" t="s">
        <v>35</v>
      </c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6"/>
      <c r="BK42" s="216"/>
      <c r="BL42" s="216"/>
      <c r="BM42" s="217"/>
    </row>
    <row r="43" ht="15" spans="4:65">
      <c r="D43" s="215"/>
      <c r="E43" s="216"/>
      <c r="F43" s="216"/>
      <c r="G43" s="216"/>
      <c r="H43" s="217"/>
      <c r="I43" s="215"/>
      <c r="J43" s="218"/>
      <c r="K43" s="218" t="s">
        <v>36</v>
      </c>
      <c r="L43" s="218"/>
      <c r="M43" s="218"/>
      <c r="N43" s="216"/>
      <c r="O43" s="216"/>
      <c r="P43" s="216"/>
      <c r="Q43" s="216"/>
      <c r="R43" s="216"/>
      <c r="S43" s="216"/>
      <c r="T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7"/>
    </row>
    <row r="44" ht="15" spans="4:65">
      <c r="D44" s="215"/>
      <c r="E44" s="216"/>
      <c r="F44" s="216"/>
      <c r="G44" s="216"/>
      <c r="H44" s="217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6"/>
      <c r="BH44" s="216"/>
      <c r="BI44" s="216"/>
      <c r="BJ44" s="216"/>
      <c r="BK44" s="216"/>
      <c r="BL44" s="216"/>
      <c r="BM44" s="217"/>
    </row>
    <row r="45" ht="15" spans="4:65">
      <c r="D45" s="215"/>
      <c r="E45" s="216"/>
      <c r="F45" s="216"/>
      <c r="G45" s="216"/>
      <c r="H45" s="217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  <c r="AI45" s="216"/>
      <c r="AJ45" s="216"/>
      <c r="AK45" s="216"/>
      <c r="AL45" s="216"/>
      <c r="AM45" s="216"/>
      <c r="AN45" s="216"/>
      <c r="AO45" s="216"/>
      <c r="AP45" s="216"/>
      <c r="AQ45" s="216"/>
      <c r="AR45" s="216"/>
      <c r="AS45" s="216"/>
      <c r="AT45" s="216"/>
      <c r="AU45" s="216"/>
      <c r="AV45" s="216"/>
      <c r="AW45" s="216"/>
      <c r="AX45" s="216"/>
      <c r="AY45" s="216"/>
      <c r="AZ45" s="216"/>
      <c r="BA45" s="216"/>
      <c r="BB45" s="216"/>
      <c r="BC45" s="216"/>
      <c r="BD45" s="216"/>
      <c r="BE45" s="216"/>
      <c r="BF45" s="216"/>
      <c r="BG45" s="216"/>
      <c r="BH45" s="216"/>
      <c r="BI45" s="216"/>
      <c r="BJ45" s="216"/>
      <c r="BK45" s="216"/>
      <c r="BL45" s="216"/>
      <c r="BM45" s="217"/>
    </row>
    <row r="46" ht="15" spans="4:65">
      <c r="D46" s="215"/>
      <c r="E46" s="216"/>
      <c r="F46" s="216"/>
      <c r="G46" s="216"/>
      <c r="H46" s="217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216"/>
      <c r="AY46" s="216"/>
      <c r="AZ46" s="216"/>
      <c r="BA46" s="216"/>
      <c r="BB46" s="216"/>
      <c r="BC46" s="216"/>
      <c r="BD46" s="216"/>
      <c r="BE46" s="216"/>
      <c r="BF46" s="216"/>
      <c r="BG46" s="216"/>
      <c r="BH46" s="216"/>
      <c r="BI46" s="216"/>
      <c r="BJ46" s="216"/>
      <c r="BK46" s="216"/>
      <c r="BL46" s="216"/>
      <c r="BM46" s="217"/>
    </row>
    <row r="47" ht="15" spans="4:65">
      <c r="D47" s="215"/>
      <c r="E47" s="216"/>
      <c r="F47" s="216"/>
      <c r="G47" s="216"/>
      <c r="H47" s="217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6"/>
      <c r="AQ47" s="216"/>
      <c r="AR47" s="216"/>
      <c r="AS47" s="216"/>
      <c r="AT47" s="216"/>
      <c r="AU47" s="216"/>
      <c r="AV47" s="216"/>
      <c r="AW47" s="216"/>
      <c r="AX47" s="216"/>
      <c r="AY47" s="216"/>
      <c r="AZ47" s="216"/>
      <c r="BA47" s="216"/>
      <c r="BB47" s="216"/>
      <c r="BC47" s="216"/>
      <c r="BD47" s="216"/>
      <c r="BE47" s="216"/>
      <c r="BF47" s="216"/>
      <c r="BG47" s="216"/>
      <c r="BH47" s="216"/>
      <c r="BI47" s="216"/>
      <c r="BJ47" s="216"/>
      <c r="BK47" s="216"/>
      <c r="BL47" s="216"/>
      <c r="BM47" s="217"/>
    </row>
    <row r="48" ht="15" spans="4:65">
      <c r="D48" s="215"/>
      <c r="E48" s="216"/>
      <c r="F48" s="216"/>
      <c r="G48" s="216"/>
      <c r="H48" s="217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6"/>
      <c r="AQ48" s="216"/>
      <c r="AR48" s="216"/>
      <c r="AS48" s="216"/>
      <c r="AT48" s="216"/>
      <c r="AU48" s="216"/>
      <c r="AV48" s="216"/>
      <c r="AW48" s="216"/>
      <c r="AX48" s="216"/>
      <c r="AY48" s="216"/>
      <c r="AZ48" s="216"/>
      <c r="BA48" s="216"/>
      <c r="BB48" s="216"/>
      <c r="BC48" s="216"/>
      <c r="BD48" s="216"/>
      <c r="BE48" s="216"/>
      <c r="BF48" s="216"/>
      <c r="BG48" s="216"/>
      <c r="BH48" s="216"/>
      <c r="BI48" s="216"/>
      <c r="BJ48" s="216"/>
      <c r="BK48" s="216"/>
      <c r="BL48" s="216"/>
      <c r="BM48" s="217"/>
    </row>
    <row r="49" ht="15" spans="4:65">
      <c r="D49" s="215"/>
      <c r="E49" s="216"/>
      <c r="F49" s="216"/>
      <c r="G49" s="216"/>
      <c r="H49" s="217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16"/>
      <c r="AY49" s="216"/>
      <c r="AZ49" s="216"/>
      <c r="BA49" s="216"/>
      <c r="BB49" s="216"/>
      <c r="BC49" s="216"/>
      <c r="BD49" s="216"/>
      <c r="BE49" s="216"/>
      <c r="BF49" s="216"/>
      <c r="BG49" s="216"/>
      <c r="BH49" s="216"/>
      <c r="BI49" s="216"/>
      <c r="BJ49" s="216"/>
      <c r="BK49" s="216"/>
      <c r="BL49" s="216"/>
      <c r="BM49" s="217"/>
    </row>
    <row r="50" ht="15" spans="4:65">
      <c r="D50" s="215"/>
      <c r="E50" s="216"/>
      <c r="F50" s="216"/>
      <c r="G50" s="216"/>
      <c r="H50" s="217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  <c r="AI50" s="216"/>
      <c r="AJ50" s="216"/>
      <c r="AK50" s="216"/>
      <c r="AL50" s="225"/>
      <c r="AM50" s="225"/>
      <c r="AN50" s="226"/>
      <c r="AO50" s="226"/>
      <c r="AP50" s="226"/>
      <c r="AQ50" s="226"/>
      <c r="AR50" s="226"/>
      <c r="AS50" s="226"/>
      <c r="AT50" s="226"/>
      <c r="AU50" s="226"/>
      <c r="AV50" s="226"/>
      <c r="AW50" s="226"/>
      <c r="AX50" s="226"/>
      <c r="AY50" s="226"/>
      <c r="AZ50" s="226"/>
      <c r="BA50" s="226"/>
      <c r="BB50" s="226"/>
      <c r="BC50" s="226"/>
      <c r="BD50" s="226"/>
      <c r="BE50" s="226"/>
      <c r="BF50" s="226"/>
      <c r="BG50" s="226"/>
      <c r="BH50" s="226"/>
      <c r="BI50" s="226"/>
      <c r="BJ50" s="226"/>
      <c r="BK50" s="226"/>
      <c r="BL50" s="226"/>
      <c r="BM50" s="227"/>
    </row>
    <row r="51" ht="15" spans="4:65">
      <c r="D51" s="215"/>
      <c r="E51" s="216"/>
      <c r="F51" s="216"/>
      <c r="G51" s="216"/>
      <c r="H51" s="217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  <c r="AI51" s="216"/>
      <c r="AJ51" s="216"/>
      <c r="AK51" s="216"/>
      <c r="AL51" s="225"/>
      <c r="AM51" s="225"/>
      <c r="AN51" s="226"/>
      <c r="AO51" s="226"/>
      <c r="AP51" s="226"/>
      <c r="AQ51" s="226"/>
      <c r="AR51" s="226"/>
      <c r="AS51" s="226"/>
      <c r="AT51" s="226"/>
      <c r="AU51" s="226"/>
      <c r="AV51" s="226"/>
      <c r="AW51" s="226"/>
      <c r="AX51" s="226"/>
      <c r="AY51" s="226"/>
      <c r="AZ51" s="226"/>
      <c r="BA51" s="226"/>
      <c r="BB51" s="226"/>
      <c r="BC51" s="226"/>
      <c r="BD51" s="226"/>
      <c r="BE51" s="226"/>
      <c r="BF51" s="226"/>
      <c r="BG51" s="226"/>
      <c r="BH51" s="226"/>
      <c r="BI51" s="226"/>
      <c r="BJ51" s="226"/>
      <c r="BK51" s="226"/>
      <c r="BL51" s="226"/>
      <c r="BM51" s="227"/>
    </row>
    <row r="52" ht="15" spans="4:65">
      <c r="D52" s="215"/>
      <c r="E52" s="216"/>
      <c r="F52" s="216"/>
      <c r="G52" s="216"/>
      <c r="H52" s="217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  <c r="AG52" s="216"/>
      <c r="AH52" s="216"/>
      <c r="AI52" s="216"/>
      <c r="AJ52" s="216"/>
      <c r="AK52" s="216"/>
      <c r="AL52" s="228"/>
      <c r="AM52" s="228"/>
      <c r="AN52" s="226"/>
      <c r="AO52" s="226"/>
      <c r="AP52" s="226"/>
      <c r="AQ52" s="226"/>
      <c r="AR52" s="226"/>
      <c r="AS52" s="226"/>
      <c r="AT52" s="226"/>
      <c r="AU52" s="226"/>
      <c r="AV52" s="226"/>
      <c r="AW52" s="226"/>
      <c r="AX52" s="226"/>
      <c r="AY52" s="226"/>
      <c r="AZ52" s="226"/>
      <c r="BA52" s="226"/>
      <c r="BB52" s="226"/>
      <c r="BC52" s="226"/>
      <c r="BD52" s="226"/>
      <c r="BE52" s="226"/>
      <c r="BF52" s="226"/>
      <c r="BG52" s="226"/>
      <c r="BH52" s="226"/>
      <c r="BI52" s="226"/>
      <c r="BJ52" s="226"/>
      <c r="BK52" s="226"/>
      <c r="BL52" s="226"/>
      <c r="BM52" s="227"/>
    </row>
    <row r="53" ht="15" spans="4:65">
      <c r="D53" s="215"/>
      <c r="E53" s="216"/>
      <c r="F53" s="216"/>
      <c r="G53" s="216"/>
      <c r="H53" s="217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  <c r="AB53" s="216"/>
      <c r="AC53" s="216"/>
      <c r="AD53" s="216"/>
      <c r="AE53" s="216"/>
      <c r="AF53" s="216"/>
      <c r="AG53" s="216"/>
      <c r="AH53" s="216"/>
      <c r="AI53" s="216"/>
      <c r="AJ53" s="216"/>
      <c r="AK53" s="216"/>
      <c r="AL53" s="228"/>
      <c r="AM53" s="228"/>
      <c r="AN53" s="226"/>
      <c r="AO53" s="226"/>
      <c r="AP53" s="226"/>
      <c r="AQ53" s="226"/>
      <c r="AR53" s="226"/>
      <c r="AS53" s="226"/>
      <c r="AT53" s="226"/>
      <c r="AU53" s="226"/>
      <c r="AV53" s="226"/>
      <c r="AW53" s="226"/>
      <c r="AX53" s="226"/>
      <c r="AY53" s="226"/>
      <c r="AZ53" s="226"/>
      <c r="BA53" s="226"/>
      <c r="BB53" s="226"/>
      <c r="BC53" s="226"/>
      <c r="BD53" s="226"/>
      <c r="BE53" s="226"/>
      <c r="BF53" s="226"/>
      <c r="BG53" s="226"/>
      <c r="BH53" s="226"/>
      <c r="BI53" s="226"/>
      <c r="BJ53" s="226"/>
      <c r="BK53" s="226"/>
      <c r="BL53" s="226"/>
      <c r="BM53" s="227"/>
    </row>
    <row r="54" ht="15" spans="4:65">
      <c r="D54" s="215"/>
      <c r="E54" s="216"/>
      <c r="F54" s="216"/>
      <c r="G54" s="216"/>
      <c r="H54" s="217"/>
      <c r="I54" s="216"/>
      <c r="J54" s="216"/>
      <c r="K54" s="229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  <c r="AD54" s="216"/>
      <c r="AE54" s="216"/>
      <c r="AF54" s="216"/>
      <c r="AG54" s="216"/>
      <c r="AH54" s="216"/>
      <c r="AI54" s="216"/>
      <c r="AJ54" s="216"/>
      <c r="AK54" s="216"/>
      <c r="AL54" s="228"/>
      <c r="AM54" s="228"/>
      <c r="AN54" s="226"/>
      <c r="AO54" s="226"/>
      <c r="AP54" s="226"/>
      <c r="AQ54" s="226"/>
      <c r="AR54" s="226"/>
      <c r="AS54" s="226"/>
      <c r="AT54" s="226"/>
      <c r="AU54" s="226"/>
      <c r="AV54" s="226"/>
      <c r="AW54" s="226"/>
      <c r="AX54" s="226"/>
      <c r="AY54" s="226"/>
      <c r="AZ54" s="226"/>
      <c r="BA54" s="226"/>
      <c r="BB54" s="226"/>
      <c r="BC54" s="226"/>
      <c r="BD54" s="226"/>
      <c r="BE54" s="226"/>
      <c r="BF54" s="226"/>
      <c r="BG54" s="226"/>
      <c r="BH54" s="226"/>
      <c r="BI54" s="226"/>
      <c r="BJ54" s="226"/>
      <c r="BK54" s="226"/>
      <c r="BL54" s="226"/>
      <c r="BM54" s="227"/>
    </row>
    <row r="55" ht="15" spans="4:65">
      <c r="D55" s="215"/>
      <c r="E55" s="216"/>
      <c r="F55" s="216"/>
      <c r="G55" s="216"/>
      <c r="H55" s="217"/>
      <c r="I55" s="216"/>
      <c r="J55" s="229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28"/>
      <c r="AM55" s="228"/>
      <c r="AN55" s="226"/>
      <c r="AO55" s="226"/>
      <c r="AP55" s="226"/>
      <c r="AQ55" s="226"/>
      <c r="AR55" s="226"/>
      <c r="AS55" s="226"/>
      <c r="AT55" s="226"/>
      <c r="AU55" s="226"/>
      <c r="AV55" s="226"/>
      <c r="AW55" s="226"/>
      <c r="AX55" s="226"/>
      <c r="AY55" s="226"/>
      <c r="AZ55" s="226"/>
      <c r="BA55" s="226"/>
      <c r="BB55" s="226"/>
      <c r="BC55" s="226"/>
      <c r="BD55" s="226"/>
      <c r="BE55" s="226"/>
      <c r="BF55" s="226"/>
      <c r="BG55" s="226"/>
      <c r="BH55" s="226"/>
      <c r="BI55" s="226"/>
      <c r="BJ55" s="226"/>
      <c r="BK55" s="226"/>
      <c r="BL55" s="226"/>
      <c r="BM55" s="227"/>
    </row>
    <row r="56" ht="15" spans="4:65">
      <c r="D56" s="215"/>
      <c r="E56" s="216"/>
      <c r="F56" s="216"/>
      <c r="G56" s="216"/>
      <c r="H56" s="217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  <c r="AD56" s="216"/>
      <c r="AE56" s="216"/>
      <c r="AF56" s="216"/>
      <c r="AG56" s="216"/>
      <c r="AH56" s="216"/>
      <c r="AI56" s="216"/>
      <c r="AJ56" s="216"/>
      <c r="AK56" s="216"/>
      <c r="AL56" s="228"/>
      <c r="AM56" s="228"/>
      <c r="AN56" s="226"/>
      <c r="AO56" s="226"/>
      <c r="AP56" s="226"/>
      <c r="AQ56" s="226"/>
      <c r="AR56" s="226"/>
      <c r="AS56" s="226"/>
      <c r="AT56" s="226"/>
      <c r="AU56" s="226"/>
      <c r="AV56" s="226"/>
      <c r="AW56" s="226"/>
      <c r="AX56" s="226"/>
      <c r="AY56" s="226"/>
      <c r="AZ56" s="226"/>
      <c r="BA56" s="226"/>
      <c r="BB56" s="226"/>
      <c r="BC56" s="226"/>
      <c r="BD56" s="226"/>
      <c r="BE56" s="226"/>
      <c r="BF56" s="226"/>
      <c r="BG56" s="226"/>
      <c r="BH56" s="226"/>
      <c r="BI56" s="226"/>
      <c r="BJ56" s="226"/>
      <c r="BK56" s="226"/>
      <c r="BL56" s="226"/>
      <c r="BM56" s="227"/>
    </row>
    <row r="57" ht="15" spans="4:65">
      <c r="D57" s="215"/>
      <c r="E57" s="216"/>
      <c r="F57" s="216"/>
      <c r="G57" s="216"/>
      <c r="H57" s="217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28"/>
      <c r="AM57" s="228"/>
      <c r="AN57" s="226"/>
      <c r="AO57" s="226"/>
      <c r="AP57" s="226"/>
      <c r="AQ57" s="226"/>
      <c r="AR57" s="226"/>
      <c r="AS57" s="226"/>
      <c r="AT57" s="226"/>
      <c r="AU57" s="226"/>
      <c r="AV57" s="226"/>
      <c r="AW57" s="226"/>
      <c r="AX57" s="226"/>
      <c r="AY57" s="226"/>
      <c r="AZ57" s="226"/>
      <c r="BA57" s="226"/>
      <c r="BB57" s="226"/>
      <c r="BC57" s="226"/>
      <c r="BD57" s="226"/>
      <c r="BE57" s="226"/>
      <c r="BF57" s="226"/>
      <c r="BG57" s="226"/>
      <c r="BH57" s="226"/>
      <c r="BI57" s="226"/>
      <c r="BJ57" s="226"/>
      <c r="BK57" s="226"/>
      <c r="BL57" s="226"/>
      <c r="BM57" s="227"/>
    </row>
    <row r="58" ht="15" spans="4:65">
      <c r="D58" s="215"/>
      <c r="E58" s="216"/>
      <c r="F58" s="216"/>
      <c r="G58" s="216"/>
      <c r="H58" s="217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25"/>
      <c r="AM58" s="225"/>
      <c r="AN58" s="226"/>
      <c r="AO58" s="226"/>
      <c r="AP58" s="226"/>
      <c r="AQ58" s="226"/>
      <c r="AR58" s="226"/>
      <c r="AS58" s="226"/>
      <c r="AT58" s="226"/>
      <c r="AU58" s="226"/>
      <c r="AV58" s="226"/>
      <c r="AW58" s="226"/>
      <c r="AX58" s="226"/>
      <c r="AY58" s="226"/>
      <c r="AZ58" s="226"/>
      <c r="BA58" s="226"/>
      <c r="BB58" s="226"/>
      <c r="BC58" s="226"/>
      <c r="BD58" s="226"/>
      <c r="BE58" s="226"/>
      <c r="BF58" s="226"/>
      <c r="BG58" s="226"/>
      <c r="BH58" s="226"/>
      <c r="BI58" s="226"/>
      <c r="BJ58" s="226"/>
      <c r="BK58" s="226"/>
      <c r="BL58" s="226"/>
      <c r="BM58" s="227"/>
    </row>
    <row r="59" ht="15" spans="4:65">
      <c r="D59" s="215"/>
      <c r="E59" s="216"/>
      <c r="F59" s="216"/>
      <c r="G59" s="216"/>
      <c r="H59" s="217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25"/>
      <c r="AM59" s="225"/>
      <c r="AN59" s="226"/>
      <c r="AO59" s="226"/>
      <c r="AP59" s="226"/>
      <c r="AQ59" s="226"/>
      <c r="AR59" s="226"/>
      <c r="AS59" s="226"/>
      <c r="AT59" s="226"/>
      <c r="AU59" s="226"/>
      <c r="AV59" s="226"/>
      <c r="AW59" s="226"/>
      <c r="AX59" s="226"/>
      <c r="AY59" s="226"/>
      <c r="AZ59" s="226"/>
      <c r="BA59" s="226"/>
      <c r="BB59" s="226"/>
      <c r="BC59" s="226"/>
      <c r="BD59" s="226"/>
      <c r="BE59" s="226"/>
      <c r="BF59" s="226"/>
      <c r="BG59" s="226"/>
      <c r="BH59" s="226"/>
      <c r="BI59" s="226"/>
      <c r="BJ59" s="226"/>
      <c r="BK59" s="226"/>
      <c r="BL59" s="226"/>
      <c r="BM59" s="227"/>
    </row>
    <row r="60" ht="15" spans="4:65">
      <c r="D60" s="215"/>
      <c r="E60" s="216"/>
      <c r="F60" s="216"/>
      <c r="G60" s="216"/>
      <c r="H60" s="217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  <c r="AH60" s="216"/>
      <c r="AI60" s="216"/>
      <c r="AJ60" s="216"/>
      <c r="AK60" s="216"/>
      <c r="AL60" s="225"/>
      <c r="AM60" s="225"/>
      <c r="AN60" s="226"/>
      <c r="AO60" s="226"/>
      <c r="AP60" s="226"/>
      <c r="AQ60" s="226"/>
      <c r="AR60" s="226"/>
      <c r="AS60" s="226"/>
      <c r="AT60" s="226"/>
      <c r="AU60" s="226"/>
      <c r="AV60" s="226"/>
      <c r="AW60" s="226"/>
      <c r="AX60" s="226"/>
      <c r="AY60" s="226"/>
      <c r="AZ60" s="226"/>
      <c r="BA60" s="226"/>
      <c r="BB60" s="226"/>
      <c r="BC60" s="226"/>
      <c r="BD60" s="226"/>
      <c r="BE60" s="226"/>
      <c r="BF60" s="226"/>
      <c r="BG60" s="226"/>
      <c r="BH60" s="226"/>
      <c r="BI60" s="226"/>
      <c r="BJ60" s="226"/>
      <c r="BK60" s="226"/>
      <c r="BL60" s="226"/>
      <c r="BM60" s="227"/>
    </row>
    <row r="61" ht="15" spans="4:65">
      <c r="D61" s="215"/>
      <c r="E61" s="216"/>
      <c r="F61" s="216"/>
      <c r="G61" s="216"/>
      <c r="H61" s="217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  <c r="AI61" s="216"/>
      <c r="AJ61" s="216"/>
      <c r="AK61" s="216"/>
      <c r="AL61" s="225"/>
      <c r="AM61" s="225"/>
      <c r="AN61" s="226"/>
      <c r="AO61" s="226"/>
      <c r="AP61" s="226"/>
      <c r="AQ61" s="226"/>
      <c r="AR61" s="226"/>
      <c r="AS61" s="226"/>
      <c r="AT61" s="226"/>
      <c r="AU61" s="226"/>
      <c r="AV61" s="226"/>
      <c r="AW61" s="226"/>
      <c r="AX61" s="226"/>
      <c r="AY61" s="226"/>
      <c r="AZ61" s="226"/>
      <c r="BA61" s="226"/>
      <c r="BB61" s="226"/>
      <c r="BC61" s="226"/>
      <c r="BD61" s="226"/>
      <c r="BE61" s="226"/>
      <c r="BF61" s="226"/>
      <c r="BG61" s="226"/>
      <c r="BH61" s="226"/>
      <c r="BI61" s="226"/>
      <c r="BJ61" s="226"/>
      <c r="BK61" s="226"/>
      <c r="BL61" s="226"/>
      <c r="BM61" s="227"/>
    </row>
    <row r="62" ht="15" spans="4:65">
      <c r="D62" s="215"/>
      <c r="E62" s="216"/>
      <c r="F62" s="216"/>
      <c r="G62" s="216"/>
      <c r="H62" s="217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  <c r="AH62" s="216"/>
      <c r="AI62" s="216"/>
      <c r="AJ62" s="216"/>
      <c r="AK62" s="216"/>
      <c r="AL62" s="225"/>
      <c r="AM62" s="225"/>
      <c r="AN62" s="226"/>
      <c r="AO62" s="226"/>
      <c r="AP62" s="226"/>
      <c r="AQ62" s="226"/>
      <c r="AR62" s="226"/>
      <c r="AS62" s="226"/>
      <c r="AT62" s="226"/>
      <c r="AU62" s="226"/>
      <c r="AV62" s="226"/>
      <c r="AW62" s="226"/>
      <c r="AX62" s="226"/>
      <c r="AY62" s="226"/>
      <c r="AZ62" s="226"/>
      <c r="BA62" s="226"/>
      <c r="BB62" s="226"/>
      <c r="BC62" s="226"/>
      <c r="BD62" s="226"/>
      <c r="BE62" s="226"/>
      <c r="BF62" s="226"/>
      <c r="BG62" s="226"/>
      <c r="BH62" s="226"/>
      <c r="BI62" s="226"/>
      <c r="BJ62" s="226"/>
      <c r="BK62" s="226"/>
      <c r="BL62" s="226"/>
      <c r="BM62" s="227"/>
    </row>
    <row r="63" ht="15" spans="4:65">
      <c r="D63" s="215"/>
      <c r="E63" s="216"/>
      <c r="F63" s="216"/>
      <c r="G63" s="216"/>
      <c r="H63" s="217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  <c r="AD63" s="216"/>
      <c r="AE63" s="216"/>
      <c r="AF63" s="216"/>
      <c r="AG63" s="216"/>
      <c r="AH63" s="216"/>
      <c r="AI63" s="216"/>
      <c r="AJ63" s="216"/>
      <c r="AK63" s="216"/>
      <c r="AL63" s="225"/>
      <c r="AM63" s="225"/>
      <c r="AN63" s="226"/>
      <c r="AO63" s="226"/>
      <c r="AP63" s="226"/>
      <c r="AQ63" s="226"/>
      <c r="AR63" s="226"/>
      <c r="AS63" s="226"/>
      <c r="AT63" s="226"/>
      <c r="AU63" s="226"/>
      <c r="AV63" s="226"/>
      <c r="AW63" s="226"/>
      <c r="AX63" s="226"/>
      <c r="AY63" s="226"/>
      <c r="AZ63" s="226"/>
      <c r="BA63" s="226"/>
      <c r="BB63" s="226"/>
      <c r="BC63" s="226"/>
      <c r="BD63" s="226"/>
      <c r="BE63" s="226"/>
      <c r="BF63" s="226"/>
      <c r="BG63" s="226"/>
      <c r="BH63" s="226"/>
      <c r="BI63" s="226"/>
      <c r="BJ63" s="226"/>
      <c r="BK63" s="226"/>
      <c r="BL63" s="226"/>
      <c r="BM63" s="227"/>
    </row>
    <row r="64" ht="15" spans="4:65">
      <c r="D64" s="215"/>
      <c r="E64" s="216"/>
      <c r="F64" s="216"/>
      <c r="G64" s="216"/>
      <c r="H64" s="217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216"/>
      <c r="AH64" s="216"/>
      <c r="AI64" s="216"/>
      <c r="AJ64" s="216"/>
      <c r="AK64" s="216"/>
      <c r="AL64" s="225"/>
      <c r="AM64" s="225"/>
      <c r="AN64" s="226"/>
      <c r="AO64" s="226"/>
      <c r="AP64" s="226"/>
      <c r="AQ64" s="226"/>
      <c r="AR64" s="226"/>
      <c r="AS64" s="226"/>
      <c r="AT64" s="226"/>
      <c r="AU64" s="226"/>
      <c r="AV64" s="226"/>
      <c r="AW64" s="226"/>
      <c r="AX64" s="226"/>
      <c r="AY64" s="226"/>
      <c r="AZ64" s="226"/>
      <c r="BA64" s="226"/>
      <c r="BB64" s="226"/>
      <c r="BC64" s="226"/>
      <c r="BD64" s="226"/>
      <c r="BE64" s="226"/>
      <c r="BF64" s="226"/>
      <c r="BG64" s="226"/>
      <c r="BH64" s="226"/>
      <c r="BI64" s="226"/>
      <c r="BJ64" s="226"/>
      <c r="BK64" s="226"/>
      <c r="BL64" s="226"/>
      <c r="BM64" s="227"/>
    </row>
    <row r="65" ht="15" spans="4:65">
      <c r="D65" s="215"/>
      <c r="E65" s="216"/>
      <c r="F65" s="216"/>
      <c r="G65" s="216"/>
      <c r="H65" s="217"/>
      <c r="I65" s="216"/>
      <c r="J65" s="216"/>
      <c r="K65" s="218"/>
      <c r="L65" s="218"/>
      <c r="M65" s="218"/>
      <c r="N65" s="218"/>
      <c r="O65" s="218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  <c r="AH65" s="216"/>
      <c r="AI65" s="216"/>
      <c r="AJ65" s="216"/>
      <c r="AK65" s="216"/>
      <c r="AL65" s="225"/>
      <c r="AM65" s="225"/>
      <c r="AN65" s="226"/>
      <c r="AO65" s="226"/>
      <c r="AP65" s="226"/>
      <c r="AQ65" s="226"/>
      <c r="AR65" s="226"/>
      <c r="AS65" s="226"/>
      <c r="AT65" s="226"/>
      <c r="AU65" s="226"/>
      <c r="AV65" s="226"/>
      <c r="AW65" s="226"/>
      <c r="AX65" s="226"/>
      <c r="AY65" s="226"/>
      <c r="AZ65" s="226"/>
      <c r="BA65" s="226"/>
      <c r="BB65" s="226"/>
      <c r="BC65" s="226"/>
      <c r="BD65" s="226"/>
      <c r="BE65" s="226"/>
      <c r="BF65" s="226"/>
      <c r="BG65" s="226"/>
      <c r="BH65" s="226"/>
      <c r="BI65" s="226"/>
      <c r="BJ65" s="226"/>
      <c r="BK65" s="226"/>
      <c r="BL65" s="226"/>
      <c r="BM65" s="227"/>
    </row>
    <row r="66" ht="15" spans="4:65">
      <c r="D66" s="215"/>
      <c r="E66" s="216"/>
      <c r="F66" s="216"/>
      <c r="G66" s="216"/>
      <c r="H66" s="217"/>
      <c r="I66" s="216"/>
      <c r="J66" s="216"/>
      <c r="K66" s="218"/>
      <c r="L66" s="218"/>
      <c r="M66" s="218"/>
      <c r="N66" s="218"/>
      <c r="O66" s="218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25"/>
      <c r="AM66" s="225"/>
      <c r="AN66" s="226"/>
      <c r="AO66" s="226"/>
      <c r="AP66" s="226"/>
      <c r="AQ66" s="226"/>
      <c r="AR66" s="226"/>
      <c r="AS66" s="226"/>
      <c r="AT66" s="226"/>
      <c r="AU66" s="226"/>
      <c r="AV66" s="226"/>
      <c r="AW66" s="226"/>
      <c r="AX66" s="226"/>
      <c r="AY66" s="226"/>
      <c r="AZ66" s="226"/>
      <c r="BA66" s="226"/>
      <c r="BB66" s="226"/>
      <c r="BC66" s="226"/>
      <c r="BD66" s="226"/>
      <c r="BE66" s="226"/>
      <c r="BF66" s="226"/>
      <c r="BG66" s="226"/>
      <c r="BH66" s="226"/>
      <c r="BI66" s="226"/>
      <c r="BJ66" s="226"/>
      <c r="BK66" s="226"/>
      <c r="BL66" s="226"/>
      <c r="BM66" s="227"/>
    </row>
    <row r="67" ht="15" spans="4:65">
      <c r="D67" s="215"/>
      <c r="E67" s="216"/>
      <c r="F67" s="216"/>
      <c r="G67" s="216"/>
      <c r="H67" s="217"/>
      <c r="I67" s="216"/>
      <c r="J67" s="216"/>
      <c r="K67" s="218"/>
      <c r="L67" s="218"/>
      <c r="M67" s="218"/>
      <c r="N67" s="218"/>
      <c r="O67" s="218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  <c r="AH67" s="216"/>
      <c r="AI67" s="216"/>
      <c r="AJ67" s="216"/>
      <c r="AK67" s="216"/>
      <c r="AL67" s="225"/>
      <c r="AM67" s="225"/>
      <c r="AN67" s="226"/>
      <c r="AO67" s="226"/>
      <c r="AP67" s="226"/>
      <c r="AQ67" s="226"/>
      <c r="AR67" s="226"/>
      <c r="AS67" s="226"/>
      <c r="AT67" s="226"/>
      <c r="AU67" s="226"/>
      <c r="AV67" s="226"/>
      <c r="AW67" s="226"/>
      <c r="AX67" s="226"/>
      <c r="AY67" s="226"/>
      <c r="AZ67" s="226"/>
      <c r="BA67" s="226"/>
      <c r="BB67" s="226"/>
      <c r="BC67" s="226"/>
      <c r="BD67" s="226"/>
      <c r="BE67" s="226"/>
      <c r="BF67" s="226"/>
      <c r="BG67" s="226"/>
      <c r="BH67" s="226"/>
      <c r="BI67" s="226"/>
      <c r="BJ67" s="226"/>
      <c r="BK67" s="226"/>
      <c r="BL67" s="226"/>
      <c r="BM67" s="227"/>
    </row>
    <row r="68" ht="15" spans="4:65">
      <c r="D68" s="215"/>
      <c r="E68" s="216"/>
      <c r="F68" s="216"/>
      <c r="G68" s="216"/>
      <c r="H68" s="217"/>
      <c r="I68" s="216"/>
      <c r="J68" s="216"/>
      <c r="K68" s="218"/>
      <c r="L68" s="218"/>
      <c r="M68" s="218"/>
      <c r="N68" s="218"/>
      <c r="O68" s="218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25"/>
      <c r="AM68" s="225"/>
      <c r="AN68" s="226"/>
      <c r="AO68" s="226"/>
      <c r="AP68" s="226"/>
      <c r="AQ68" s="226"/>
      <c r="AR68" s="226"/>
      <c r="AS68" s="226"/>
      <c r="AT68" s="226"/>
      <c r="AU68" s="226"/>
      <c r="AV68" s="226"/>
      <c r="AW68" s="226"/>
      <c r="AX68" s="226"/>
      <c r="AY68" s="226"/>
      <c r="AZ68" s="226"/>
      <c r="BA68" s="226"/>
      <c r="BB68" s="226"/>
      <c r="BC68" s="226"/>
      <c r="BD68" s="226"/>
      <c r="BE68" s="226"/>
      <c r="BF68" s="226"/>
      <c r="BG68" s="226"/>
      <c r="BH68" s="226"/>
      <c r="BI68" s="226"/>
      <c r="BJ68" s="226"/>
      <c r="BK68" s="226"/>
      <c r="BL68" s="226"/>
      <c r="BM68" s="227"/>
    </row>
    <row r="69" ht="15" spans="4:65">
      <c r="D69" s="215"/>
      <c r="E69" s="216"/>
      <c r="F69" s="216"/>
      <c r="G69" s="216"/>
      <c r="H69" s="217"/>
      <c r="I69" s="216"/>
      <c r="J69" s="216"/>
      <c r="K69" s="218"/>
      <c r="L69" s="218"/>
      <c r="M69" s="218"/>
      <c r="N69" s="218"/>
      <c r="O69" s="218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  <c r="AI69" s="216"/>
      <c r="AJ69" s="216"/>
      <c r="AK69" s="216"/>
      <c r="AL69" s="225"/>
      <c r="AM69" s="225"/>
      <c r="AN69" s="226"/>
      <c r="AO69" s="226"/>
      <c r="AP69" s="226"/>
      <c r="AQ69" s="226"/>
      <c r="AR69" s="226"/>
      <c r="AS69" s="226"/>
      <c r="AT69" s="226"/>
      <c r="AU69" s="226"/>
      <c r="AV69" s="226"/>
      <c r="AW69" s="226"/>
      <c r="AX69" s="226"/>
      <c r="AY69" s="226"/>
      <c r="AZ69" s="226"/>
      <c r="BA69" s="226"/>
      <c r="BB69" s="226"/>
      <c r="BC69" s="226"/>
      <c r="BD69" s="226"/>
      <c r="BE69" s="226"/>
      <c r="BF69" s="226"/>
      <c r="BG69" s="226"/>
      <c r="BH69" s="226"/>
      <c r="BI69" s="226"/>
      <c r="BJ69" s="226"/>
      <c r="BK69" s="226"/>
      <c r="BL69" s="226"/>
      <c r="BM69" s="227"/>
    </row>
    <row r="70" ht="15" spans="4:65">
      <c r="D70" s="215"/>
      <c r="E70" s="216"/>
      <c r="F70" s="216"/>
      <c r="G70" s="216"/>
      <c r="H70" s="217"/>
      <c r="I70" s="216"/>
      <c r="J70" s="216"/>
      <c r="K70" s="218"/>
      <c r="L70" s="218"/>
      <c r="M70" s="218"/>
      <c r="N70" s="218"/>
      <c r="O70" s="218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25"/>
      <c r="AM70" s="225"/>
      <c r="AN70" s="226"/>
      <c r="AO70" s="226"/>
      <c r="AP70" s="226"/>
      <c r="AQ70" s="226"/>
      <c r="AR70" s="226"/>
      <c r="AS70" s="226"/>
      <c r="AT70" s="226"/>
      <c r="AU70" s="226"/>
      <c r="AV70" s="226"/>
      <c r="AW70" s="226"/>
      <c r="AX70" s="226"/>
      <c r="AY70" s="226"/>
      <c r="AZ70" s="226"/>
      <c r="BA70" s="226"/>
      <c r="BB70" s="226"/>
      <c r="BC70" s="226"/>
      <c r="BD70" s="226"/>
      <c r="BE70" s="226"/>
      <c r="BF70" s="226"/>
      <c r="BG70" s="226"/>
      <c r="BH70" s="226"/>
      <c r="BI70" s="226"/>
      <c r="BJ70" s="226"/>
      <c r="BK70" s="226"/>
      <c r="BL70" s="226"/>
      <c r="BM70" s="227"/>
    </row>
    <row r="71" ht="15" spans="4:65">
      <c r="D71" s="215"/>
      <c r="E71" s="216"/>
      <c r="F71" s="216"/>
      <c r="G71" s="216"/>
      <c r="H71" s="217"/>
      <c r="I71" s="216"/>
      <c r="J71" s="216"/>
      <c r="K71" s="218"/>
      <c r="L71" s="218"/>
      <c r="M71" s="218"/>
      <c r="N71" s="218"/>
      <c r="O71" s="218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  <c r="AI71" s="216"/>
      <c r="AJ71" s="216"/>
      <c r="AK71" s="216"/>
      <c r="AL71" s="225"/>
      <c r="AM71" s="225"/>
      <c r="AN71" s="226"/>
      <c r="AO71" s="226"/>
      <c r="AP71" s="226"/>
      <c r="AQ71" s="226"/>
      <c r="AR71" s="226"/>
      <c r="AS71" s="226"/>
      <c r="AT71" s="226"/>
      <c r="AU71" s="226"/>
      <c r="AV71" s="226"/>
      <c r="AW71" s="226"/>
      <c r="AX71" s="226"/>
      <c r="AY71" s="226"/>
      <c r="AZ71" s="226"/>
      <c r="BA71" s="226"/>
      <c r="BB71" s="226"/>
      <c r="BC71" s="226"/>
      <c r="BD71" s="226"/>
      <c r="BE71" s="226"/>
      <c r="BF71" s="226"/>
      <c r="BG71" s="226"/>
      <c r="BH71" s="226"/>
      <c r="BI71" s="226"/>
      <c r="BJ71" s="226"/>
      <c r="BK71" s="226"/>
      <c r="BL71" s="226"/>
      <c r="BM71" s="227"/>
    </row>
    <row r="72" ht="15" spans="4:65">
      <c r="D72" s="215"/>
      <c r="E72" s="216"/>
      <c r="F72" s="216"/>
      <c r="G72" s="216"/>
      <c r="H72" s="217"/>
      <c r="I72" s="216"/>
      <c r="J72" s="218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16"/>
      <c r="AJ72" s="216"/>
      <c r="AK72" s="216"/>
      <c r="AL72" s="216"/>
      <c r="AM72" s="225"/>
      <c r="AN72" s="225"/>
      <c r="AO72" s="226"/>
      <c r="AP72" s="226"/>
      <c r="AQ72" s="226"/>
      <c r="AR72" s="226"/>
      <c r="AS72" s="226"/>
      <c r="AT72" s="226"/>
      <c r="AU72" s="226"/>
      <c r="AV72" s="226"/>
      <c r="AW72" s="226"/>
      <c r="AX72" s="226"/>
      <c r="AY72" s="226"/>
      <c r="AZ72" s="226"/>
      <c r="BA72" s="226"/>
      <c r="BB72" s="226"/>
      <c r="BC72" s="226"/>
      <c r="BD72" s="226"/>
      <c r="BE72" s="226"/>
      <c r="BF72" s="226"/>
      <c r="BG72" s="226"/>
      <c r="BH72" s="226"/>
      <c r="BI72" s="226"/>
      <c r="BJ72" s="226"/>
      <c r="BK72" s="226"/>
      <c r="BL72" s="226"/>
      <c r="BM72" s="227"/>
    </row>
    <row r="73" ht="15" spans="4:65">
      <c r="D73" s="215"/>
      <c r="E73" s="216"/>
      <c r="F73" s="216"/>
      <c r="G73" s="216"/>
      <c r="H73" s="217"/>
      <c r="I73" s="216"/>
      <c r="J73" s="218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25"/>
      <c r="AN73" s="225"/>
      <c r="AO73" s="226"/>
      <c r="AP73" s="226"/>
      <c r="AQ73" s="226"/>
      <c r="AR73" s="226"/>
      <c r="AS73" s="226"/>
      <c r="AT73" s="226"/>
      <c r="AU73" s="226"/>
      <c r="AV73" s="226"/>
      <c r="AW73" s="226"/>
      <c r="AX73" s="226"/>
      <c r="AY73" s="226"/>
      <c r="AZ73" s="226"/>
      <c r="BA73" s="226"/>
      <c r="BB73" s="226"/>
      <c r="BC73" s="226"/>
      <c r="BD73" s="226"/>
      <c r="BE73" s="226"/>
      <c r="BF73" s="226"/>
      <c r="BG73" s="226"/>
      <c r="BH73" s="226"/>
      <c r="BI73" s="226"/>
      <c r="BJ73" s="226"/>
      <c r="BK73" s="226"/>
      <c r="BL73" s="226"/>
      <c r="BM73" s="227"/>
    </row>
    <row r="74" ht="15" spans="4:65">
      <c r="D74" s="215"/>
      <c r="E74" s="216"/>
      <c r="F74" s="216"/>
      <c r="G74" s="216"/>
      <c r="H74" s="217"/>
      <c r="I74" s="216"/>
      <c r="J74" s="218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6"/>
      <c r="AK74" s="216"/>
      <c r="AL74" s="216"/>
      <c r="AM74" s="225"/>
      <c r="AN74" s="225"/>
      <c r="AO74" s="226"/>
      <c r="AP74" s="226"/>
      <c r="AQ74" s="226"/>
      <c r="AR74" s="226"/>
      <c r="AS74" s="226"/>
      <c r="AT74" s="226"/>
      <c r="AU74" s="226"/>
      <c r="AV74" s="226"/>
      <c r="AW74" s="226"/>
      <c r="AX74" s="226"/>
      <c r="AY74" s="226"/>
      <c r="AZ74" s="226"/>
      <c r="BA74" s="226"/>
      <c r="BB74" s="226"/>
      <c r="BC74" s="226"/>
      <c r="BD74" s="226"/>
      <c r="BE74" s="226"/>
      <c r="BF74" s="226"/>
      <c r="BG74" s="226"/>
      <c r="BH74" s="226"/>
      <c r="BI74" s="226"/>
      <c r="BJ74" s="226"/>
      <c r="BK74" s="226"/>
      <c r="BL74" s="226"/>
      <c r="BM74" s="227"/>
    </row>
    <row r="75" ht="15" spans="4:65">
      <c r="D75" s="215"/>
      <c r="E75" s="216"/>
      <c r="F75" s="216"/>
      <c r="G75" s="216"/>
      <c r="H75" s="217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  <c r="AI75" s="216"/>
      <c r="AJ75" s="216"/>
      <c r="AK75" s="216"/>
      <c r="AL75" s="216"/>
      <c r="AM75" s="225"/>
      <c r="AN75" s="225"/>
      <c r="AO75" s="226"/>
      <c r="AP75" s="226"/>
      <c r="AQ75" s="226"/>
      <c r="AR75" s="226"/>
      <c r="AS75" s="226"/>
      <c r="AT75" s="226"/>
      <c r="AU75" s="226"/>
      <c r="AV75" s="226"/>
      <c r="AW75" s="226"/>
      <c r="AX75" s="226"/>
      <c r="AY75" s="226"/>
      <c r="AZ75" s="226"/>
      <c r="BA75" s="226"/>
      <c r="BB75" s="226"/>
      <c r="BC75" s="226"/>
      <c r="BD75" s="226"/>
      <c r="BE75" s="226"/>
      <c r="BF75" s="226"/>
      <c r="BG75" s="226"/>
      <c r="BH75" s="226"/>
      <c r="BI75" s="226"/>
      <c r="BJ75" s="226"/>
      <c r="BK75" s="226"/>
      <c r="BL75" s="226"/>
      <c r="BM75" s="227"/>
    </row>
    <row r="76" ht="15" spans="4:65">
      <c r="D76" s="215"/>
      <c r="E76" s="216"/>
      <c r="F76" s="216"/>
      <c r="G76" s="216"/>
      <c r="H76" s="217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6"/>
      <c r="AK76" s="216"/>
      <c r="AL76" s="216"/>
      <c r="AM76" s="225"/>
      <c r="AN76" s="225"/>
      <c r="AO76" s="226"/>
      <c r="AP76" s="226"/>
      <c r="AQ76" s="226"/>
      <c r="AR76" s="226"/>
      <c r="AS76" s="226"/>
      <c r="AT76" s="226"/>
      <c r="AU76" s="226"/>
      <c r="AV76" s="226"/>
      <c r="AW76" s="226"/>
      <c r="AX76" s="226"/>
      <c r="AY76" s="226"/>
      <c r="AZ76" s="226"/>
      <c r="BA76" s="226"/>
      <c r="BB76" s="226"/>
      <c r="BC76" s="226"/>
      <c r="BD76" s="226"/>
      <c r="BE76" s="226"/>
      <c r="BF76" s="226"/>
      <c r="BG76" s="226"/>
      <c r="BH76" s="226"/>
      <c r="BI76" s="226"/>
      <c r="BJ76" s="226"/>
      <c r="BK76" s="226"/>
      <c r="BL76" s="226"/>
      <c r="BM76" s="227"/>
    </row>
    <row r="77" ht="15" spans="4:65">
      <c r="D77" s="215"/>
      <c r="E77" s="216"/>
      <c r="F77" s="216"/>
      <c r="G77" s="216"/>
      <c r="H77" s="217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25"/>
      <c r="AN77" s="225"/>
      <c r="AO77" s="226"/>
      <c r="AP77" s="226"/>
      <c r="AQ77" s="226"/>
      <c r="AR77" s="226"/>
      <c r="AS77" s="226"/>
      <c r="AT77" s="226"/>
      <c r="AU77" s="226"/>
      <c r="AV77" s="226"/>
      <c r="AW77" s="226"/>
      <c r="AX77" s="226"/>
      <c r="AY77" s="226"/>
      <c r="AZ77" s="226"/>
      <c r="BA77" s="226"/>
      <c r="BB77" s="226"/>
      <c r="BC77" s="226"/>
      <c r="BD77" s="226"/>
      <c r="BE77" s="226"/>
      <c r="BF77" s="226"/>
      <c r="BG77" s="226"/>
      <c r="BH77" s="226"/>
      <c r="BI77" s="226"/>
      <c r="BJ77" s="226"/>
      <c r="BK77" s="226"/>
      <c r="BL77" s="226"/>
      <c r="BM77" s="227"/>
    </row>
    <row r="78" ht="15" spans="4:65">
      <c r="D78" s="215"/>
      <c r="E78" s="216"/>
      <c r="F78" s="216"/>
      <c r="G78" s="216"/>
      <c r="H78" s="217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  <c r="AI78" s="216"/>
      <c r="AJ78" s="216"/>
      <c r="AK78" s="216"/>
      <c r="AL78" s="216"/>
      <c r="AM78" s="225"/>
      <c r="AN78" s="225"/>
      <c r="AO78" s="226"/>
      <c r="AP78" s="226"/>
      <c r="AQ78" s="226"/>
      <c r="AR78" s="226"/>
      <c r="AS78" s="226"/>
      <c r="AT78" s="226"/>
      <c r="AU78" s="226"/>
      <c r="AV78" s="226"/>
      <c r="AW78" s="226"/>
      <c r="AX78" s="226"/>
      <c r="AY78" s="226"/>
      <c r="AZ78" s="226"/>
      <c r="BA78" s="226"/>
      <c r="BB78" s="226"/>
      <c r="BC78" s="226"/>
      <c r="BD78" s="226"/>
      <c r="BE78" s="226"/>
      <c r="BF78" s="226"/>
      <c r="BG78" s="226"/>
      <c r="BH78" s="226"/>
      <c r="BI78" s="226"/>
      <c r="BJ78" s="226"/>
      <c r="BK78" s="226"/>
      <c r="BL78" s="226"/>
      <c r="BM78" s="227"/>
    </row>
    <row r="79" ht="15" spans="4:65">
      <c r="D79" s="215"/>
      <c r="E79" s="216"/>
      <c r="F79" s="216"/>
      <c r="G79" s="216"/>
      <c r="H79" s="217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25"/>
      <c r="AN79" s="225"/>
      <c r="AO79" s="226"/>
      <c r="AP79" s="226"/>
      <c r="AQ79" s="226"/>
      <c r="AR79" s="226"/>
      <c r="AS79" s="226"/>
      <c r="AT79" s="226"/>
      <c r="AU79" s="226"/>
      <c r="AV79" s="226"/>
      <c r="AW79" s="226"/>
      <c r="AX79" s="226"/>
      <c r="AY79" s="226"/>
      <c r="AZ79" s="226"/>
      <c r="BA79" s="226"/>
      <c r="BB79" s="226"/>
      <c r="BC79" s="226"/>
      <c r="BD79" s="226"/>
      <c r="BE79" s="226"/>
      <c r="BF79" s="226"/>
      <c r="BG79" s="226"/>
      <c r="BH79" s="226"/>
      <c r="BI79" s="226"/>
      <c r="BJ79" s="226"/>
      <c r="BK79" s="226"/>
      <c r="BL79" s="226"/>
      <c r="BM79" s="227"/>
    </row>
    <row r="80" ht="15" spans="4:65">
      <c r="D80" s="215"/>
      <c r="E80" s="216"/>
      <c r="F80" s="216"/>
      <c r="G80" s="216"/>
      <c r="H80" s="217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  <c r="AI80" s="216"/>
      <c r="AJ80" s="216"/>
      <c r="AK80" s="216"/>
      <c r="AL80" s="228"/>
      <c r="AM80" s="228"/>
      <c r="AN80" s="226"/>
      <c r="AO80" s="226"/>
      <c r="AP80" s="226"/>
      <c r="AQ80" s="226"/>
      <c r="AR80" s="226"/>
      <c r="AS80" s="226"/>
      <c r="AT80" s="226"/>
      <c r="AU80" s="226"/>
      <c r="AV80" s="226"/>
      <c r="AW80" s="226"/>
      <c r="AX80" s="226"/>
      <c r="AY80" s="226"/>
      <c r="AZ80" s="226"/>
      <c r="BA80" s="226"/>
      <c r="BB80" s="226"/>
      <c r="BC80" s="226"/>
      <c r="BD80" s="226"/>
      <c r="BE80" s="226"/>
      <c r="BF80" s="226"/>
      <c r="BG80" s="226"/>
      <c r="BH80" s="226"/>
      <c r="BI80" s="226"/>
      <c r="BJ80" s="226"/>
      <c r="BK80" s="226"/>
      <c r="BL80" s="226"/>
      <c r="BM80" s="227"/>
    </row>
    <row r="81" ht="15" spans="4:65">
      <c r="D81" s="215"/>
      <c r="E81" s="216"/>
      <c r="F81" s="216"/>
      <c r="G81" s="216"/>
      <c r="H81" s="217"/>
      <c r="I81" s="216"/>
      <c r="J81" s="218"/>
      <c r="K81" s="218"/>
      <c r="L81" s="218"/>
      <c r="M81" s="218"/>
      <c r="N81" s="218"/>
      <c r="O81" s="218"/>
      <c r="P81" s="218"/>
      <c r="Q81" s="218"/>
      <c r="R81" s="218"/>
      <c r="S81" s="216"/>
      <c r="T81" s="229"/>
      <c r="U81" s="229"/>
      <c r="V81" s="229"/>
      <c r="W81" s="229"/>
      <c r="X81" s="229"/>
      <c r="Y81" s="229"/>
      <c r="Z81" s="229"/>
      <c r="AA81" s="229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25"/>
      <c r="AN81" s="225"/>
      <c r="AO81" s="226"/>
      <c r="AP81" s="226"/>
      <c r="AQ81" s="226"/>
      <c r="AR81" s="226"/>
      <c r="AS81" s="226"/>
      <c r="AT81" s="226"/>
      <c r="AU81" s="226"/>
      <c r="AV81" s="226"/>
      <c r="AW81" s="226"/>
      <c r="AX81" s="226"/>
      <c r="AY81" s="226"/>
      <c r="AZ81" s="226"/>
      <c r="BA81" s="226"/>
      <c r="BB81" s="226"/>
      <c r="BC81" s="226"/>
      <c r="BD81" s="226"/>
      <c r="BE81" s="226"/>
      <c r="BF81" s="226"/>
      <c r="BG81" s="226"/>
      <c r="BH81" s="226"/>
      <c r="BI81" s="226"/>
      <c r="BJ81" s="226"/>
      <c r="BK81" s="226"/>
      <c r="BL81" s="226"/>
      <c r="BM81" s="227"/>
    </row>
    <row r="82" ht="15" spans="4:65">
      <c r="D82" s="215"/>
      <c r="E82" s="216"/>
      <c r="F82" s="216"/>
      <c r="G82" s="216"/>
      <c r="H82" s="217"/>
      <c r="I82" s="216"/>
      <c r="J82" s="218"/>
      <c r="K82" s="218"/>
      <c r="L82" s="218"/>
      <c r="M82" s="218"/>
      <c r="N82" s="218"/>
      <c r="O82" s="218"/>
      <c r="P82" s="218"/>
      <c r="Q82" s="218"/>
      <c r="R82" s="218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25"/>
      <c r="AM82" s="225"/>
      <c r="AN82" s="226"/>
      <c r="AO82" s="226"/>
      <c r="AP82" s="226"/>
      <c r="AQ82" s="226"/>
      <c r="AR82" s="226"/>
      <c r="AS82" s="226"/>
      <c r="AT82" s="226"/>
      <c r="AU82" s="226"/>
      <c r="AV82" s="226"/>
      <c r="AW82" s="226"/>
      <c r="AX82" s="226"/>
      <c r="AY82" s="226"/>
      <c r="AZ82" s="226"/>
      <c r="BA82" s="226"/>
      <c r="BB82" s="226"/>
      <c r="BC82" s="226"/>
      <c r="BD82" s="226"/>
      <c r="BE82" s="226"/>
      <c r="BF82" s="226"/>
      <c r="BG82" s="226"/>
      <c r="BH82" s="226"/>
      <c r="BI82" s="226"/>
      <c r="BJ82" s="226"/>
      <c r="BK82" s="226"/>
      <c r="BL82" s="226"/>
      <c r="BM82" s="227"/>
    </row>
    <row r="83" ht="15" spans="4:65">
      <c r="D83" s="215"/>
      <c r="E83" s="216"/>
      <c r="F83" s="216"/>
      <c r="G83" s="216"/>
      <c r="H83" s="217"/>
      <c r="I83" s="216"/>
      <c r="J83" s="218"/>
      <c r="K83" s="218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  <c r="AI83" s="216"/>
      <c r="AJ83" s="216"/>
      <c r="AK83" s="216"/>
      <c r="AL83" s="216"/>
      <c r="AM83" s="225"/>
      <c r="AN83" s="226"/>
      <c r="AO83" s="226"/>
      <c r="AP83" s="226"/>
      <c r="AQ83" s="226"/>
      <c r="AR83" s="226"/>
      <c r="AS83" s="226"/>
      <c r="AT83" s="226"/>
      <c r="AU83" s="226"/>
      <c r="AV83" s="226"/>
      <c r="AW83" s="226"/>
      <c r="AX83" s="226"/>
      <c r="AY83" s="226"/>
      <c r="AZ83" s="226"/>
      <c r="BA83" s="226"/>
      <c r="BB83" s="226"/>
      <c r="BC83" s="226"/>
      <c r="BD83" s="226"/>
      <c r="BE83" s="226"/>
      <c r="BF83" s="226"/>
      <c r="BG83" s="226"/>
      <c r="BH83" s="226"/>
      <c r="BI83" s="226"/>
      <c r="BJ83" s="226"/>
      <c r="BK83" s="226"/>
      <c r="BL83" s="226"/>
      <c r="BM83" s="227"/>
    </row>
    <row r="84" ht="15" spans="4:65">
      <c r="D84" s="215"/>
      <c r="E84" s="216"/>
      <c r="F84" s="216"/>
      <c r="G84" s="216"/>
      <c r="H84" s="217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  <c r="AI84" s="216"/>
      <c r="AJ84" s="216"/>
      <c r="AK84" s="216"/>
      <c r="AL84" s="216"/>
      <c r="AM84" s="225"/>
      <c r="AN84" s="226"/>
      <c r="AO84" s="226"/>
      <c r="AP84" s="226"/>
      <c r="AQ84" s="226"/>
      <c r="AR84" s="226"/>
      <c r="AS84" s="226"/>
      <c r="AT84" s="226"/>
      <c r="AU84" s="226"/>
      <c r="AV84" s="226"/>
      <c r="AW84" s="226"/>
      <c r="AX84" s="226"/>
      <c r="AY84" s="226"/>
      <c r="AZ84" s="226"/>
      <c r="BA84" s="226"/>
      <c r="BB84" s="226"/>
      <c r="BC84" s="226"/>
      <c r="BD84" s="226"/>
      <c r="BE84" s="226"/>
      <c r="BF84" s="226"/>
      <c r="BG84" s="226"/>
      <c r="BH84" s="226"/>
      <c r="BI84" s="226"/>
      <c r="BJ84" s="226"/>
      <c r="BK84" s="226"/>
      <c r="BL84" s="226"/>
      <c r="BM84" s="227"/>
    </row>
    <row r="85" ht="15" spans="4:65">
      <c r="D85" s="215"/>
      <c r="E85" s="216"/>
      <c r="F85" s="216"/>
      <c r="G85" s="216"/>
      <c r="H85" s="217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6"/>
      <c r="AK85" s="216"/>
      <c r="AL85" s="216"/>
      <c r="AM85" s="225"/>
      <c r="AN85" s="226"/>
      <c r="AO85" s="226"/>
      <c r="AP85" s="226"/>
      <c r="AQ85" s="226"/>
      <c r="AR85" s="226"/>
      <c r="AS85" s="226"/>
      <c r="AT85" s="226"/>
      <c r="AU85" s="226"/>
      <c r="AV85" s="226"/>
      <c r="AW85" s="226"/>
      <c r="AX85" s="226"/>
      <c r="AY85" s="226"/>
      <c r="AZ85" s="226"/>
      <c r="BA85" s="226"/>
      <c r="BB85" s="226"/>
      <c r="BC85" s="226"/>
      <c r="BD85" s="226"/>
      <c r="BE85" s="226"/>
      <c r="BF85" s="226"/>
      <c r="BG85" s="226"/>
      <c r="BH85" s="226"/>
      <c r="BI85" s="226"/>
      <c r="BJ85" s="226"/>
      <c r="BK85" s="226"/>
      <c r="BL85" s="226"/>
      <c r="BM85" s="227"/>
    </row>
    <row r="86" ht="15" spans="4:65">
      <c r="D86" s="215"/>
      <c r="E86" s="216"/>
      <c r="F86" s="216"/>
      <c r="G86" s="216"/>
      <c r="H86" s="217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  <c r="AI86" s="216"/>
      <c r="AJ86" s="216"/>
      <c r="AK86" s="216"/>
      <c r="AL86" s="216"/>
      <c r="AM86" s="225"/>
      <c r="AN86" s="226"/>
      <c r="AO86" s="226"/>
      <c r="AP86" s="226"/>
      <c r="AQ86" s="226"/>
      <c r="AR86" s="226"/>
      <c r="AS86" s="226"/>
      <c r="AT86" s="226"/>
      <c r="AU86" s="226"/>
      <c r="AV86" s="226"/>
      <c r="AW86" s="226"/>
      <c r="AX86" s="226"/>
      <c r="AY86" s="226"/>
      <c r="AZ86" s="226"/>
      <c r="BA86" s="226"/>
      <c r="BB86" s="226"/>
      <c r="BC86" s="226"/>
      <c r="BD86" s="226"/>
      <c r="BE86" s="226"/>
      <c r="BF86" s="226"/>
      <c r="BG86" s="226"/>
      <c r="BH86" s="226"/>
      <c r="BI86" s="226"/>
      <c r="BJ86" s="226"/>
      <c r="BK86" s="226"/>
      <c r="BL86" s="226"/>
      <c r="BM86" s="227"/>
    </row>
    <row r="87" ht="15" spans="4:65">
      <c r="D87" s="215"/>
      <c r="E87" s="216"/>
      <c r="F87" s="216"/>
      <c r="G87" s="216"/>
      <c r="H87" s="217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  <c r="AI87" s="216"/>
      <c r="AJ87" s="216"/>
      <c r="AK87" s="216"/>
      <c r="AL87" s="216"/>
      <c r="AM87" s="225"/>
      <c r="AN87" s="226"/>
      <c r="AO87" s="226"/>
      <c r="AP87" s="226"/>
      <c r="AQ87" s="226"/>
      <c r="AR87" s="226"/>
      <c r="AS87" s="226"/>
      <c r="AT87" s="226"/>
      <c r="AU87" s="226"/>
      <c r="AV87" s="226"/>
      <c r="AW87" s="226"/>
      <c r="AX87" s="226"/>
      <c r="AY87" s="226"/>
      <c r="AZ87" s="226"/>
      <c r="BA87" s="226"/>
      <c r="BB87" s="226"/>
      <c r="BC87" s="226"/>
      <c r="BD87" s="226"/>
      <c r="BE87" s="226"/>
      <c r="BF87" s="226"/>
      <c r="BG87" s="226"/>
      <c r="BH87" s="226"/>
      <c r="BI87" s="226"/>
      <c r="BJ87" s="226"/>
      <c r="BK87" s="226"/>
      <c r="BL87" s="226"/>
      <c r="BM87" s="227"/>
    </row>
    <row r="88" ht="15" spans="4:65">
      <c r="D88" s="215"/>
      <c r="E88" s="216"/>
      <c r="F88" s="216"/>
      <c r="G88" s="216"/>
      <c r="H88" s="217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  <c r="AI88" s="216"/>
      <c r="AJ88" s="216"/>
      <c r="AK88" s="216"/>
      <c r="AL88" s="216"/>
      <c r="AM88" s="225"/>
      <c r="AN88" s="226"/>
      <c r="AO88" s="226"/>
      <c r="AP88" s="226"/>
      <c r="AQ88" s="226"/>
      <c r="AR88" s="226"/>
      <c r="AS88" s="226"/>
      <c r="AT88" s="226"/>
      <c r="AU88" s="226"/>
      <c r="AV88" s="226"/>
      <c r="AW88" s="226"/>
      <c r="AX88" s="226"/>
      <c r="AY88" s="226"/>
      <c r="AZ88" s="226"/>
      <c r="BA88" s="226"/>
      <c r="BB88" s="226"/>
      <c r="BC88" s="226"/>
      <c r="BD88" s="226"/>
      <c r="BE88" s="226"/>
      <c r="BF88" s="226"/>
      <c r="BG88" s="226"/>
      <c r="BH88" s="226"/>
      <c r="BI88" s="226"/>
      <c r="BJ88" s="226"/>
      <c r="BK88" s="226"/>
      <c r="BL88" s="226"/>
      <c r="BM88" s="227"/>
    </row>
    <row r="89" ht="15" spans="4:65">
      <c r="D89" s="215"/>
      <c r="E89" s="216"/>
      <c r="F89" s="216"/>
      <c r="G89" s="216"/>
      <c r="H89" s="217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  <c r="AI89" s="216"/>
      <c r="AJ89" s="216"/>
      <c r="AK89" s="216"/>
      <c r="AL89" s="216"/>
      <c r="AM89" s="225"/>
      <c r="AN89" s="226"/>
      <c r="AO89" s="226"/>
      <c r="AP89" s="226"/>
      <c r="AQ89" s="226"/>
      <c r="AR89" s="226"/>
      <c r="AS89" s="226"/>
      <c r="AT89" s="226"/>
      <c r="AU89" s="226"/>
      <c r="AV89" s="226"/>
      <c r="AW89" s="226"/>
      <c r="AX89" s="226"/>
      <c r="AY89" s="226"/>
      <c r="AZ89" s="226"/>
      <c r="BA89" s="226"/>
      <c r="BB89" s="226"/>
      <c r="BC89" s="226"/>
      <c r="BD89" s="226"/>
      <c r="BE89" s="226"/>
      <c r="BF89" s="226"/>
      <c r="BG89" s="226"/>
      <c r="BH89" s="226"/>
      <c r="BI89" s="226"/>
      <c r="BJ89" s="226"/>
      <c r="BK89" s="226"/>
      <c r="BL89" s="226"/>
      <c r="BM89" s="227"/>
    </row>
    <row r="90" ht="15" spans="4:65">
      <c r="D90" s="215"/>
      <c r="E90" s="216"/>
      <c r="F90" s="216"/>
      <c r="G90" s="216"/>
      <c r="H90" s="217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6"/>
      <c r="AJ90" s="216"/>
      <c r="AK90" s="216"/>
      <c r="AL90" s="216"/>
      <c r="AM90" s="225"/>
      <c r="AN90" s="226"/>
      <c r="AO90" s="226"/>
      <c r="AP90" s="226"/>
      <c r="AQ90" s="226"/>
      <c r="AR90" s="226"/>
      <c r="AS90" s="226"/>
      <c r="AT90" s="226"/>
      <c r="AU90" s="226"/>
      <c r="AV90" s="226"/>
      <c r="AW90" s="226"/>
      <c r="AX90" s="226"/>
      <c r="AY90" s="226"/>
      <c r="AZ90" s="226"/>
      <c r="BA90" s="226"/>
      <c r="BB90" s="226"/>
      <c r="BC90" s="226"/>
      <c r="BD90" s="226"/>
      <c r="BE90" s="226"/>
      <c r="BF90" s="226"/>
      <c r="BG90" s="226"/>
      <c r="BH90" s="226"/>
      <c r="BI90" s="226"/>
      <c r="BJ90" s="226"/>
      <c r="BK90" s="226"/>
      <c r="BL90" s="226"/>
      <c r="BM90" s="227"/>
    </row>
    <row r="91" ht="15" spans="4:65">
      <c r="D91" s="215"/>
      <c r="E91" s="216"/>
      <c r="F91" s="216"/>
      <c r="G91" s="216"/>
      <c r="H91" s="217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25"/>
      <c r="AN91" s="226"/>
      <c r="AO91" s="226"/>
      <c r="AP91" s="226"/>
      <c r="AQ91" s="226"/>
      <c r="AR91" s="226"/>
      <c r="AS91" s="226"/>
      <c r="AT91" s="226"/>
      <c r="AU91" s="226"/>
      <c r="AV91" s="226"/>
      <c r="AW91" s="226"/>
      <c r="AX91" s="226"/>
      <c r="AY91" s="226"/>
      <c r="AZ91" s="226"/>
      <c r="BA91" s="226"/>
      <c r="BB91" s="226"/>
      <c r="BC91" s="226"/>
      <c r="BD91" s="226"/>
      <c r="BE91" s="226"/>
      <c r="BF91" s="226"/>
      <c r="BG91" s="226"/>
      <c r="BH91" s="226"/>
      <c r="BI91" s="226"/>
      <c r="BJ91" s="226"/>
      <c r="BK91" s="226"/>
      <c r="BL91" s="226"/>
      <c r="BM91" s="227"/>
    </row>
    <row r="92" ht="15" spans="4:65">
      <c r="D92" s="215"/>
      <c r="E92" s="216"/>
      <c r="F92" s="216"/>
      <c r="G92" s="216"/>
      <c r="H92" s="217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25"/>
      <c r="AN92" s="226"/>
      <c r="AO92" s="226"/>
      <c r="AP92" s="226"/>
      <c r="AQ92" s="226"/>
      <c r="AR92" s="226"/>
      <c r="AS92" s="226"/>
      <c r="AT92" s="226"/>
      <c r="AU92" s="226"/>
      <c r="AV92" s="226"/>
      <c r="AW92" s="226"/>
      <c r="AX92" s="226"/>
      <c r="AY92" s="226"/>
      <c r="AZ92" s="226"/>
      <c r="BA92" s="226"/>
      <c r="BB92" s="226"/>
      <c r="BC92" s="226"/>
      <c r="BD92" s="226"/>
      <c r="BE92" s="226"/>
      <c r="BF92" s="226"/>
      <c r="BG92" s="226"/>
      <c r="BH92" s="226"/>
      <c r="BI92" s="226"/>
      <c r="BJ92" s="226"/>
      <c r="BK92" s="226"/>
      <c r="BL92" s="226"/>
      <c r="BM92" s="227"/>
    </row>
    <row r="93" ht="15" spans="4:65">
      <c r="D93" s="215"/>
      <c r="E93" s="216"/>
      <c r="F93" s="216"/>
      <c r="G93" s="216"/>
      <c r="H93" s="217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  <c r="AH93" s="216"/>
      <c r="AI93" s="216"/>
      <c r="AJ93" s="216"/>
      <c r="AK93" s="216"/>
      <c r="AL93" s="216"/>
      <c r="AM93" s="225"/>
      <c r="AN93" s="226"/>
      <c r="AO93" s="226"/>
      <c r="AP93" s="226"/>
      <c r="AQ93" s="226"/>
      <c r="AR93" s="226"/>
      <c r="AS93" s="226"/>
      <c r="AT93" s="226"/>
      <c r="AU93" s="226"/>
      <c r="AV93" s="226"/>
      <c r="AW93" s="226"/>
      <c r="AX93" s="226"/>
      <c r="AY93" s="226"/>
      <c r="AZ93" s="226"/>
      <c r="BA93" s="226"/>
      <c r="BB93" s="226"/>
      <c r="BC93" s="226"/>
      <c r="BD93" s="226"/>
      <c r="BE93" s="226"/>
      <c r="BF93" s="226"/>
      <c r="BG93" s="226"/>
      <c r="BH93" s="226"/>
      <c r="BI93" s="226"/>
      <c r="BJ93" s="226"/>
      <c r="BK93" s="226"/>
      <c r="BL93" s="226"/>
      <c r="BM93" s="227"/>
    </row>
    <row r="94" ht="15" spans="4:65">
      <c r="D94" s="215"/>
      <c r="E94" s="216"/>
      <c r="F94" s="216"/>
      <c r="G94" s="216"/>
      <c r="H94" s="217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25"/>
      <c r="AN94" s="226"/>
      <c r="AO94" s="226"/>
      <c r="AP94" s="226"/>
      <c r="AQ94" s="226"/>
      <c r="AR94" s="226"/>
      <c r="AS94" s="226"/>
      <c r="AT94" s="226"/>
      <c r="AU94" s="226"/>
      <c r="AV94" s="226"/>
      <c r="AW94" s="226"/>
      <c r="AX94" s="226"/>
      <c r="AY94" s="226"/>
      <c r="AZ94" s="226"/>
      <c r="BA94" s="226"/>
      <c r="BB94" s="226"/>
      <c r="BC94" s="226"/>
      <c r="BD94" s="226"/>
      <c r="BE94" s="226"/>
      <c r="BF94" s="226"/>
      <c r="BG94" s="226"/>
      <c r="BH94" s="226"/>
      <c r="BI94" s="226"/>
      <c r="BJ94" s="226"/>
      <c r="BK94" s="226"/>
      <c r="BL94" s="226"/>
      <c r="BM94" s="227"/>
    </row>
    <row r="95" ht="15" spans="4:65">
      <c r="D95" s="215"/>
      <c r="E95" s="216"/>
      <c r="F95" s="216"/>
      <c r="G95" s="216"/>
      <c r="H95" s="217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  <c r="AI95" s="216"/>
      <c r="AJ95" s="216"/>
      <c r="AK95" s="216"/>
      <c r="AL95" s="216"/>
      <c r="AM95" s="225"/>
      <c r="AN95" s="226"/>
      <c r="AO95" s="226"/>
      <c r="AP95" s="226"/>
      <c r="AQ95" s="226"/>
      <c r="AR95" s="226"/>
      <c r="AS95" s="226"/>
      <c r="AT95" s="226"/>
      <c r="AU95" s="226"/>
      <c r="AV95" s="226"/>
      <c r="AW95" s="226"/>
      <c r="AX95" s="226"/>
      <c r="AY95" s="226"/>
      <c r="AZ95" s="226"/>
      <c r="BA95" s="226"/>
      <c r="BB95" s="226"/>
      <c r="BC95" s="226"/>
      <c r="BD95" s="226"/>
      <c r="BE95" s="226"/>
      <c r="BF95" s="226"/>
      <c r="BG95" s="226"/>
      <c r="BH95" s="226"/>
      <c r="BI95" s="226"/>
      <c r="BJ95" s="226"/>
      <c r="BK95" s="226"/>
      <c r="BL95" s="226"/>
      <c r="BM95" s="227"/>
    </row>
    <row r="96" ht="15" spans="4:65">
      <c r="D96" s="215"/>
      <c r="E96" s="216"/>
      <c r="F96" s="216"/>
      <c r="G96" s="216"/>
      <c r="H96" s="217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25"/>
      <c r="AM96" s="225"/>
      <c r="AN96" s="226"/>
      <c r="AO96" s="226"/>
      <c r="AP96" s="226"/>
      <c r="AQ96" s="226"/>
      <c r="AR96" s="226"/>
      <c r="AS96" s="226"/>
      <c r="AT96" s="226"/>
      <c r="AU96" s="226"/>
      <c r="AV96" s="226"/>
      <c r="AW96" s="226"/>
      <c r="AX96" s="226"/>
      <c r="AY96" s="226"/>
      <c r="AZ96" s="226"/>
      <c r="BA96" s="226"/>
      <c r="BB96" s="226"/>
      <c r="BC96" s="226"/>
      <c r="BD96" s="226"/>
      <c r="BE96" s="226"/>
      <c r="BF96" s="226"/>
      <c r="BG96" s="226"/>
      <c r="BH96" s="226"/>
      <c r="BI96" s="226"/>
      <c r="BJ96" s="226"/>
      <c r="BK96" s="226"/>
      <c r="BL96" s="226"/>
      <c r="BM96" s="227"/>
    </row>
    <row r="97" ht="15" spans="4:65">
      <c r="D97" s="215"/>
      <c r="E97" s="216"/>
      <c r="F97" s="216"/>
      <c r="G97" s="216"/>
      <c r="H97" s="217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25"/>
      <c r="AM97" s="225"/>
      <c r="AN97" s="226"/>
      <c r="AO97" s="226"/>
      <c r="AP97" s="226"/>
      <c r="AQ97" s="226"/>
      <c r="AR97" s="226"/>
      <c r="AS97" s="226"/>
      <c r="AT97" s="226"/>
      <c r="AU97" s="226"/>
      <c r="AV97" s="226"/>
      <c r="AW97" s="226"/>
      <c r="AX97" s="226"/>
      <c r="AY97" s="226"/>
      <c r="AZ97" s="226"/>
      <c r="BA97" s="226"/>
      <c r="BB97" s="226"/>
      <c r="BC97" s="226"/>
      <c r="BD97" s="226"/>
      <c r="BE97" s="226"/>
      <c r="BF97" s="226"/>
      <c r="BG97" s="226"/>
      <c r="BH97" s="226"/>
      <c r="BI97" s="226"/>
      <c r="BJ97" s="226"/>
      <c r="BK97" s="226"/>
      <c r="BL97" s="226"/>
      <c r="BM97" s="227"/>
    </row>
    <row r="98" ht="15" spans="4:65">
      <c r="D98" s="215"/>
      <c r="E98" s="216"/>
      <c r="F98" s="216"/>
      <c r="G98" s="216"/>
      <c r="H98" s="217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  <c r="AH98" s="216"/>
      <c r="AI98" s="216"/>
      <c r="AJ98" s="216"/>
      <c r="AK98" s="216"/>
      <c r="AL98" s="225"/>
      <c r="AM98" s="225"/>
      <c r="AN98" s="226"/>
      <c r="AO98" s="226"/>
      <c r="AP98" s="226"/>
      <c r="AQ98" s="226"/>
      <c r="AR98" s="226"/>
      <c r="AS98" s="226"/>
      <c r="AT98" s="226"/>
      <c r="AU98" s="226"/>
      <c r="AV98" s="226"/>
      <c r="AW98" s="226"/>
      <c r="AX98" s="226"/>
      <c r="AY98" s="226"/>
      <c r="AZ98" s="226"/>
      <c r="BA98" s="226"/>
      <c r="BB98" s="226"/>
      <c r="BC98" s="226"/>
      <c r="BD98" s="226"/>
      <c r="BE98" s="226"/>
      <c r="BF98" s="226"/>
      <c r="BG98" s="226"/>
      <c r="BH98" s="226"/>
      <c r="BI98" s="226"/>
      <c r="BJ98" s="226"/>
      <c r="BK98" s="226"/>
      <c r="BL98" s="226"/>
      <c r="BM98" s="227"/>
    </row>
    <row r="99" ht="15" spans="4:65">
      <c r="D99" s="215"/>
      <c r="E99" s="216"/>
      <c r="F99" s="216"/>
      <c r="G99" s="216"/>
      <c r="H99" s="217"/>
      <c r="I99" s="216"/>
      <c r="J99" s="216"/>
      <c r="K99" s="218"/>
      <c r="L99" s="218"/>
      <c r="M99" s="218"/>
      <c r="N99" s="218"/>
      <c r="O99" s="218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  <c r="AI99" s="216"/>
      <c r="AJ99" s="216"/>
      <c r="AK99" s="216"/>
      <c r="AL99" s="225"/>
      <c r="AM99" s="225"/>
      <c r="AN99" s="226"/>
      <c r="AO99" s="226"/>
      <c r="AP99" s="226"/>
      <c r="AQ99" s="226"/>
      <c r="AR99" s="226"/>
      <c r="AS99" s="226"/>
      <c r="AT99" s="226"/>
      <c r="AU99" s="226"/>
      <c r="AV99" s="226"/>
      <c r="AW99" s="226"/>
      <c r="AX99" s="226"/>
      <c r="AY99" s="226"/>
      <c r="AZ99" s="226"/>
      <c r="BA99" s="226"/>
      <c r="BB99" s="226"/>
      <c r="BC99" s="226"/>
      <c r="BD99" s="226"/>
      <c r="BE99" s="226"/>
      <c r="BF99" s="226"/>
      <c r="BG99" s="226"/>
      <c r="BH99" s="226"/>
      <c r="BI99" s="226"/>
      <c r="BJ99" s="226"/>
      <c r="BK99" s="226"/>
      <c r="BL99" s="226"/>
      <c r="BM99" s="227"/>
    </row>
    <row r="100" ht="15" spans="4:65">
      <c r="D100" s="215"/>
      <c r="E100" s="216"/>
      <c r="F100" s="216"/>
      <c r="G100" s="216"/>
      <c r="H100" s="217"/>
      <c r="I100" s="216"/>
      <c r="J100" s="216"/>
      <c r="K100" s="218"/>
      <c r="L100" s="218"/>
      <c r="M100" s="218"/>
      <c r="N100" s="218"/>
      <c r="O100" s="218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  <c r="AH100" s="216"/>
      <c r="AI100" s="216"/>
      <c r="AJ100" s="216"/>
      <c r="AK100" s="216"/>
      <c r="AL100" s="225"/>
      <c r="AM100" s="225"/>
      <c r="AN100" s="226"/>
      <c r="AO100" s="226"/>
      <c r="AP100" s="226"/>
      <c r="AQ100" s="226"/>
      <c r="AR100" s="226"/>
      <c r="AS100" s="226"/>
      <c r="AT100" s="226"/>
      <c r="AU100" s="226"/>
      <c r="AV100" s="226"/>
      <c r="AW100" s="226"/>
      <c r="AX100" s="226"/>
      <c r="AY100" s="226"/>
      <c r="AZ100" s="226"/>
      <c r="BA100" s="226"/>
      <c r="BB100" s="226"/>
      <c r="BC100" s="226"/>
      <c r="BD100" s="226"/>
      <c r="BE100" s="226"/>
      <c r="BF100" s="226"/>
      <c r="BG100" s="226"/>
      <c r="BH100" s="226"/>
      <c r="BI100" s="226"/>
      <c r="BJ100" s="226"/>
      <c r="BK100" s="226"/>
      <c r="BL100" s="226"/>
      <c r="BM100" s="227"/>
    </row>
    <row r="101" ht="15" spans="4:65">
      <c r="D101" s="215"/>
      <c r="E101" s="216"/>
      <c r="F101" s="216"/>
      <c r="G101" s="216"/>
      <c r="H101" s="217"/>
      <c r="I101" s="216"/>
      <c r="J101" s="216"/>
      <c r="K101" s="218"/>
      <c r="L101" s="218"/>
      <c r="M101" s="218"/>
      <c r="N101" s="218"/>
      <c r="O101" s="218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  <c r="AF101" s="216"/>
      <c r="AG101" s="216"/>
      <c r="AH101" s="216"/>
      <c r="AI101" s="216"/>
      <c r="AJ101" s="216"/>
      <c r="AK101" s="216"/>
      <c r="AL101" s="225"/>
      <c r="AM101" s="225"/>
      <c r="AN101" s="226"/>
      <c r="AO101" s="226"/>
      <c r="AP101" s="226"/>
      <c r="AQ101" s="226"/>
      <c r="AR101" s="226"/>
      <c r="AS101" s="226"/>
      <c r="AT101" s="226"/>
      <c r="AU101" s="226"/>
      <c r="AV101" s="226"/>
      <c r="AW101" s="226"/>
      <c r="AX101" s="226"/>
      <c r="AY101" s="226"/>
      <c r="AZ101" s="226"/>
      <c r="BA101" s="226"/>
      <c r="BB101" s="226"/>
      <c r="BC101" s="226"/>
      <c r="BD101" s="226"/>
      <c r="BE101" s="226"/>
      <c r="BF101" s="226"/>
      <c r="BG101" s="226"/>
      <c r="BH101" s="226"/>
      <c r="BI101" s="226"/>
      <c r="BJ101" s="226"/>
      <c r="BK101" s="226"/>
      <c r="BL101" s="226"/>
      <c r="BM101" s="227"/>
    </row>
    <row r="102" ht="15" spans="4:65">
      <c r="D102" s="215"/>
      <c r="E102" s="216"/>
      <c r="F102" s="216"/>
      <c r="G102" s="216"/>
      <c r="H102" s="217"/>
      <c r="I102" s="216"/>
      <c r="J102" s="216"/>
      <c r="K102" s="218"/>
      <c r="L102" s="218"/>
      <c r="M102" s="218"/>
      <c r="N102" s="218"/>
      <c r="O102" s="218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  <c r="AH102" s="216"/>
      <c r="AI102" s="216"/>
      <c r="AJ102" s="216"/>
      <c r="AK102" s="216"/>
      <c r="AL102" s="225"/>
      <c r="AM102" s="225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6"/>
      <c r="AX102" s="226"/>
      <c r="AY102" s="226"/>
      <c r="AZ102" s="226"/>
      <c r="BA102" s="226"/>
      <c r="BB102" s="226"/>
      <c r="BC102" s="226"/>
      <c r="BD102" s="226"/>
      <c r="BE102" s="226"/>
      <c r="BF102" s="226"/>
      <c r="BG102" s="226"/>
      <c r="BH102" s="226"/>
      <c r="BI102" s="226"/>
      <c r="BJ102" s="226"/>
      <c r="BK102" s="226"/>
      <c r="BL102" s="226"/>
      <c r="BM102" s="227"/>
    </row>
    <row r="103" ht="15" spans="4:65">
      <c r="D103" s="215"/>
      <c r="E103" s="216"/>
      <c r="F103" s="216"/>
      <c r="G103" s="216"/>
      <c r="H103" s="217"/>
      <c r="I103" s="216"/>
      <c r="J103" s="216"/>
      <c r="K103" s="218"/>
      <c r="L103" s="218"/>
      <c r="M103" s="218"/>
      <c r="N103" s="218"/>
      <c r="O103" s="218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25"/>
      <c r="AM103" s="225"/>
      <c r="AN103" s="226"/>
      <c r="AO103" s="226"/>
      <c r="AP103" s="226"/>
      <c r="AQ103" s="226"/>
      <c r="AR103" s="226"/>
      <c r="AS103" s="226"/>
      <c r="AT103" s="226"/>
      <c r="AU103" s="226"/>
      <c r="AV103" s="226"/>
      <c r="AW103" s="226"/>
      <c r="AX103" s="226"/>
      <c r="AY103" s="226"/>
      <c r="AZ103" s="226"/>
      <c r="BA103" s="226"/>
      <c r="BB103" s="226"/>
      <c r="BC103" s="226"/>
      <c r="BD103" s="226"/>
      <c r="BE103" s="226"/>
      <c r="BF103" s="226"/>
      <c r="BG103" s="226"/>
      <c r="BH103" s="226"/>
      <c r="BI103" s="226"/>
      <c r="BJ103" s="226"/>
      <c r="BK103" s="226"/>
      <c r="BL103" s="226"/>
      <c r="BM103" s="227"/>
    </row>
    <row r="104" ht="15" spans="4:65">
      <c r="D104" s="215"/>
      <c r="E104" s="216"/>
      <c r="F104" s="216"/>
      <c r="G104" s="216"/>
      <c r="H104" s="217"/>
      <c r="I104" s="216"/>
      <c r="J104" s="216"/>
      <c r="K104" s="218"/>
      <c r="L104" s="218"/>
      <c r="M104" s="218"/>
      <c r="N104" s="218"/>
      <c r="O104" s="218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  <c r="AH104" s="216"/>
      <c r="AI104" s="216"/>
      <c r="AJ104" s="216"/>
      <c r="AK104" s="216"/>
      <c r="AL104" s="225"/>
      <c r="AM104" s="225"/>
      <c r="AN104" s="226"/>
      <c r="AO104" s="226"/>
      <c r="AP104" s="226"/>
      <c r="AQ104" s="226"/>
      <c r="AR104" s="226"/>
      <c r="AS104" s="226"/>
      <c r="AT104" s="226"/>
      <c r="AU104" s="226"/>
      <c r="AV104" s="226"/>
      <c r="AW104" s="226"/>
      <c r="AX104" s="226"/>
      <c r="AY104" s="226"/>
      <c r="AZ104" s="226"/>
      <c r="BA104" s="226"/>
      <c r="BB104" s="226"/>
      <c r="BC104" s="226"/>
      <c r="BD104" s="226"/>
      <c r="BE104" s="226"/>
      <c r="BF104" s="226"/>
      <c r="BG104" s="226"/>
      <c r="BH104" s="226"/>
      <c r="BI104" s="226"/>
      <c r="BJ104" s="226"/>
      <c r="BK104" s="226"/>
      <c r="BL104" s="226"/>
      <c r="BM104" s="227"/>
    </row>
    <row r="105" ht="15" spans="4:65">
      <c r="D105" s="215"/>
      <c r="E105" s="216"/>
      <c r="F105" s="216"/>
      <c r="G105" s="216"/>
      <c r="H105" s="217"/>
      <c r="I105" s="216"/>
      <c r="J105" s="216"/>
      <c r="K105" s="218"/>
      <c r="L105" s="218"/>
      <c r="M105" s="218"/>
      <c r="N105" s="218"/>
      <c r="O105" s="218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  <c r="AK105" s="216"/>
      <c r="AL105" s="225"/>
      <c r="AM105" s="225"/>
      <c r="AN105" s="226"/>
      <c r="AO105" s="226"/>
      <c r="AP105" s="226"/>
      <c r="AQ105" s="226"/>
      <c r="AR105" s="226"/>
      <c r="AS105" s="226"/>
      <c r="AT105" s="226"/>
      <c r="AU105" s="226"/>
      <c r="AV105" s="226"/>
      <c r="AW105" s="226"/>
      <c r="AX105" s="226"/>
      <c r="AY105" s="226"/>
      <c r="AZ105" s="226"/>
      <c r="BA105" s="226"/>
      <c r="BB105" s="226"/>
      <c r="BC105" s="226"/>
      <c r="BD105" s="226"/>
      <c r="BE105" s="226"/>
      <c r="BF105" s="226"/>
      <c r="BG105" s="226"/>
      <c r="BH105" s="226"/>
      <c r="BI105" s="226"/>
      <c r="BJ105" s="226"/>
      <c r="BK105" s="226"/>
      <c r="BL105" s="226"/>
      <c r="BM105" s="227"/>
    </row>
    <row r="106" ht="15" spans="4:65">
      <c r="D106" s="215"/>
      <c r="E106" s="216"/>
      <c r="F106" s="216"/>
      <c r="G106" s="216"/>
      <c r="H106" s="217"/>
      <c r="I106" s="216"/>
      <c r="J106" s="218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8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25"/>
      <c r="AM106" s="225"/>
      <c r="AN106" s="226"/>
      <c r="AO106" s="226"/>
      <c r="AP106" s="226"/>
      <c r="AQ106" s="226"/>
      <c r="AR106" s="226"/>
      <c r="AS106" s="226"/>
      <c r="AT106" s="226"/>
      <c r="AU106" s="226"/>
      <c r="AV106" s="226"/>
      <c r="AW106" s="226"/>
      <c r="AX106" s="226"/>
      <c r="AY106" s="226"/>
      <c r="AZ106" s="226"/>
      <c r="BA106" s="226"/>
      <c r="BB106" s="226"/>
      <c r="BC106" s="226"/>
      <c r="BD106" s="226"/>
      <c r="BE106" s="226"/>
      <c r="BF106" s="226"/>
      <c r="BG106" s="226"/>
      <c r="BH106" s="226"/>
      <c r="BI106" s="226"/>
      <c r="BJ106" s="226"/>
      <c r="BK106" s="226"/>
      <c r="BL106" s="226"/>
      <c r="BM106" s="227"/>
    </row>
    <row r="107" ht="15" spans="4:65">
      <c r="D107" s="215"/>
      <c r="E107" s="216"/>
      <c r="F107" s="216"/>
      <c r="G107" s="216"/>
      <c r="H107" s="217"/>
      <c r="I107" s="216"/>
      <c r="J107" s="218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8"/>
      <c r="X107" s="216"/>
      <c r="Y107" s="216"/>
      <c r="Z107" s="216"/>
      <c r="AA107" s="216"/>
      <c r="AB107" s="216"/>
      <c r="AC107" s="216"/>
      <c r="AD107" s="216"/>
      <c r="AE107" s="216"/>
      <c r="AF107" s="216"/>
      <c r="AG107" s="216"/>
      <c r="AH107" s="216"/>
      <c r="AI107" s="216"/>
      <c r="AJ107" s="216"/>
      <c r="AK107" s="216"/>
      <c r="AL107" s="225"/>
      <c r="AM107" s="225"/>
      <c r="AN107" s="226"/>
      <c r="AO107" s="226"/>
      <c r="AP107" s="226"/>
      <c r="AQ107" s="226"/>
      <c r="AR107" s="226"/>
      <c r="AS107" s="226"/>
      <c r="AT107" s="226"/>
      <c r="AU107" s="226"/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6"/>
      <c r="BG107" s="226"/>
      <c r="BH107" s="226"/>
      <c r="BI107" s="226"/>
      <c r="BJ107" s="226"/>
      <c r="BK107" s="226"/>
      <c r="BL107" s="226"/>
      <c r="BM107" s="227"/>
    </row>
    <row r="108" ht="15" spans="4:65">
      <c r="D108" s="215"/>
      <c r="E108" s="216"/>
      <c r="F108" s="216"/>
      <c r="G108" s="216"/>
      <c r="H108" s="217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6"/>
      <c r="AG108" s="216"/>
      <c r="AH108" s="216"/>
      <c r="AI108" s="216"/>
      <c r="AJ108" s="216"/>
      <c r="AK108" s="216"/>
      <c r="AL108" s="225"/>
      <c r="AM108" s="225"/>
      <c r="AN108" s="226"/>
      <c r="AO108" s="226"/>
      <c r="AP108" s="226"/>
      <c r="AQ108" s="226"/>
      <c r="AR108" s="226"/>
      <c r="AS108" s="226"/>
      <c r="AT108" s="226"/>
      <c r="AU108" s="226"/>
      <c r="AV108" s="226"/>
      <c r="AW108" s="226"/>
      <c r="AX108" s="226"/>
      <c r="AY108" s="226"/>
      <c r="AZ108" s="226"/>
      <c r="BA108" s="226"/>
      <c r="BB108" s="226"/>
      <c r="BC108" s="226"/>
      <c r="BD108" s="226"/>
      <c r="BE108" s="226"/>
      <c r="BF108" s="226"/>
      <c r="BG108" s="226"/>
      <c r="BH108" s="226"/>
      <c r="BI108" s="226"/>
      <c r="BJ108" s="226"/>
      <c r="BK108" s="226"/>
      <c r="BL108" s="226"/>
      <c r="BM108" s="227"/>
    </row>
    <row r="109" ht="15" spans="4:65">
      <c r="D109" s="215"/>
      <c r="E109" s="216"/>
      <c r="F109" s="216"/>
      <c r="G109" s="216"/>
      <c r="H109" s="217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6"/>
      <c r="AJ109" s="216"/>
      <c r="AK109" s="216"/>
      <c r="AL109" s="225"/>
      <c r="AM109" s="225"/>
      <c r="AN109" s="226"/>
      <c r="AO109" s="226"/>
      <c r="AP109" s="226"/>
      <c r="AQ109" s="226"/>
      <c r="AR109" s="226"/>
      <c r="AS109" s="226"/>
      <c r="AT109" s="226"/>
      <c r="AU109" s="226"/>
      <c r="AV109" s="226"/>
      <c r="AW109" s="226"/>
      <c r="AX109" s="226"/>
      <c r="AY109" s="226"/>
      <c r="AZ109" s="226"/>
      <c r="BA109" s="226"/>
      <c r="BB109" s="226"/>
      <c r="BC109" s="226"/>
      <c r="BD109" s="226"/>
      <c r="BE109" s="226"/>
      <c r="BF109" s="226"/>
      <c r="BG109" s="226"/>
      <c r="BH109" s="226"/>
      <c r="BI109" s="226"/>
      <c r="BJ109" s="226"/>
      <c r="BK109" s="226"/>
      <c r="BL109" s="226"/>
      <c r="BM109" s="227"/>
    </row>
    <row r="110" ht="15" spans="4:65">
      <c r="D110" s="215"/>
      <c r="E110" s="216"/>
      <c r="F110" s="216"/>
      <c r="G110" s="216"/>
      <c r="H110" s="217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  <c r="AH110" s="216"/>
      <c r="AI110" s="216"/>
      <c r="AJ110" s="216"/>
      <c r="AK110" s="216"/>
      <c r="AL110" s="225"/>
      <c r="AM110" s="225"/>
      <c r="AN110" s="226"/>
      <c r="AO110" s="226"/>
      <c r="AP110" s="226"/>
      <c r="AQ110" s="226"/>
      <c r="AR110" s="226"/>
      <c r="AS110" s="226"/>
      <c r="AT110" s="226"/>
      <c r="AU110" s="226"/>
      <c r="AV110" s="226"/>
      <c r="AW110" s="226"/>
      <c r="AX110" s="226"/>
      <c r="AY110" s="226"/>
      <c r="AZ110" s="226"/>
      <c r="BA110" s="226"/>
      <c r="BB110" s="226"/>
      <c r="BC110" s="226"/>
      <c r="BD110" s="226"/>
      <c r="BE110" s="226"/>
      <c r="BF110" s="226"/>
      <c r="BG110" s="226"/>
      <c r="BH110" s="226"/>
      <c r="BI110" s="226"/>
      <c r="BJ110" s="226"/>
      <c r="BK110" s="226"/>
      <c r="BL110" s="226"/>
      <c r="BM110" s="227"/>
    </row>
    <row r="111" ht="15" spans="4:65">
      <c r="D111" s="215"/>
      <c r="E111" s="216"/>
      <c r="F111" s="216"/>
      <c r="G111" s="216"/>
      <c r="H111" s="217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  <c r="AE111" s="216"/>
      <c r="AF111" s="216"/>
      <c r="AG111" s="216"/>
      <c r="AH111" s="216"/>
      <c r="AI111" s="216"/>
      <c r="AJ111" s="216"/>
      <c r="AK111" s="216"/>
      <c r="AL111" s="225"/>
      <c r="AM111" s="225"/>
      <c r="AN111" s="226"/>
      <c r="AO111" s="226"/>
      <c r="AP111" s="226"/>
      <c r="AQ111" s="226"/>
      <c r="AR111" s="226"/>
      <c r="AS111" s="226"/>
      <c r="AT111" s="226"/>
      <c r="AU111" s="226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7"/>
    </row>
    <row r="112" ht="15" spans="4:65">
      <c r="D112" s="215"/>
      <c r="E112" s="216"/>
      <c r="F112" s="216"/>
      <c r="G112" s="216"/>
      <c r="H112" s="217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  <c r="AH112" s="216"/>
      <c r="AI112" s="216"/>
      <c r="AJ112" s="216"/>
      <c r="AK112" s="216"/>
      <c r="AL112" s="225"/>
      <c r="AM112" s="225"/>
      <c r="AN112" s="226"/>
      <c r="AO112" s="226"/>
      <c r="AP112" s="226"/>
      <c r="AQ112" s="226"/>
      <c r="AR112" s="226"/>
      <c r="AS112" s="226"/>
      <c r="AT112" s="226"/>
      <c r="AU112" s="226"/>
      <c r="AV112" s="226"/>
      <c r="AW112" s="226"/>
      <c r="AX112" s="226"/>
      <c r="AY112" s="226"/>
      <c r="AZ112" s="226"/>
      <c r="BA112" s="226"/>
      <c r="BB112" s="226"/>
      <c r="BC112" s="226"/>
      <c r="BD112" s="226"/>
      <c r="BE112" s="226"/>
      <c r="BF112" s="226"/>
      <c r="BG112" s="226"/>
      <c r="BH112" s="226"/>
      <c r="BI112" s="226"/>
      <c r="BJ112" s="226"/>
      <c r="BK112" s="226"/>
      <c r="BL112" s="226"/>
      <c r="BM112" s="227"/>
    </row>
    <row r="113" ht="15" spans="4:65">
      <c r="D113" s="215"/>
      <c r="E113" s="216"/>
      <c r="F113" s="216"/>
      <c r="G113" s="216"/>
      <c r="H113" s="217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  <c r="AE113" s="216"/>
      <c r="AF113" s="216"/>
      <c r="AG113" s="216"/>
      <c r="AH113" s="216"/>
      <c r="AI113" s="216"/>
      <c r="AJ113" s="216"/>
      <c r="AK113" s="216"/>
      <c r="AL113" s="225"/>
      <c r="AM113" s="225"/>
      <c r="AN113" s="226"/>
      <c r="AO113" s="226"/>
      <c r="AP113" s="226"/>
      <c r="AQ113" s="226"/>
      <c r="AR113" s="226"/>
      <c r="AS113" s="226"/>
      <c r="AT113" s="226"/>
      <c r="AU113" s="226"/>
      <c r="AV113" s="226"/>
      <c r="AW113" s="226"/>
      <c r="AX113" s="226"/>
      <c r="AY113" s="226"/>
      <c r="AZ113" s="226"/>
      <c r="BA113" s="226"/>
      <c r="BB113" s="226"/>
      <c r="BC113" s="226"/>
      <c r="BD113" s="226"/>
      <c r="BE113" s="226"/>
      <c r="BF113" s="226"/>
      <c r="BG113" s="226"/>
      <c r="BH113" s="226"/>
      <c r="BI113" s="226"/>
      <c r="BJ113" s="226"/>
      <c r="BK113" s="226"/>
      <c r="BL113" s="226"/>
      <c r="BM113" s="227"/>
    </row>
    <row r="114" ht="15" spans="4:65">
      <c r="D114" s="215"/>
      <c r="E114" s="216"/>
      <c r="F114" s="216"/>
      <c r="G114" s="216"/>
      <c r="H114" s="217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  <c r="AE114" s="216"/>
      <c r="AF114" s="216"/>
      <c r="AG114" s="216"/>
      <c r="AH114" s="216"/>
      <c r="AI114" s="216"/>
      <c r="AJ114" s="216"/>
      <c r="AK114" s="216"/>
      <c r="AL114" s="225"/>
      <c r="AM114" s="225"/>
      <c r="AN114" s="226"/>
      <c r="AO114" s="226"/>
      <c r="AP114" s="226"/>
      <c r="AQ114" s="226"/>
      <c r="AR114" s="226"/>
      <c r="AS114" s="226"/>
      <c r="AT114" s="226"/>
      <c r="AU114" s="226"/>
      <c r="AV114" s="226"/>
      <c r="AW114" s="226"/>
      <c r="AX114" s="226"/>
      <c r="AY114" s="226"/>
      <c r="AZ114" s="226"/>
      <c r="BA114" s="226"/>
      <c r="BB114" s="226"/>
      <c r="BC114" s="226"/>
      <c r="BD114" s="226"/>
      <c r="BE114" s="226"/>
      <c r="BF114" s="226"/>
      <c r="BG114" s="226"/>
      <c r="BH114" s="226"/>
      <c r="BI114" s="226"/>
      <c r="BJ114" s="226"/>
      <c r="BK114" s="226"/>
      <c r="BL114" s="226"/>
      <c r="BM114" s="227"/>
    </row>
    <row r="115" ht="15" spans="4:65">
      <c r="D115" s="215"/>
      <c r="E115" s="216"/>
      <c r="F115" s="216"/>
      <c r="G115" s="216"/>
      <c r="H115" s="217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  <c r="AE115" s="216"/>
      <c r="AF115" s="216"/>
      <c r="AG115" s="216"/>
      <c r="AH115" s="216"/>
      <c r="AI115" s="216"/>
      <c r="AJ115" s="216"/>
      <c r="AK115" s="216"/>
      <c r="AL115" s="225"/>
      <c r="AM115" s="225"/>
      <c r="AN115" s="226"/>
      <c r="AO115" s="226"/>
      <c r="AP115" s="226"/>
      <c r="AQ115" s="226"/>
      <c r="AR115" s="226"/>
      <c r="AS115" s="226"/>
      <c r="AT115" s="226"/>
      <c r="AU115" s="226"/>
      <c r="AV115" s="226"/>
      <c r="AW115" s="226"/>
      <c r="AX115" s="226"/>
      <c r="AY115" s="226"/>
      <c r="AZ115" s="226"/>
      <c r="BA115" s="226"/>
      <c r="BB115" s="226"/>
      <c r="BC115" s="226"/>
      <c r="BD115" s="226"/>
      <c r="BE115" s="226"/>
      <c r="BF115" s="226"/>
      <c r="BG115" s="226"/>
      <c r="BH115" s="226"/>
      <c r="BI115" s="226"/>
      <c r="BJ115" s="226"/>
      <c r="BK115" s="226"/>
      <c r="BL115" s="226"/>
      <c r="BM115" s="227"/>
    </row>
    <row r="116" ht="15" spans="4:65">
      <c r="D116" s="215"/>
      <c r="E116" s="216"/>
      <c r="F116" s="216"/>
      <c r="G116" s="216"/>
      <c r="H116" s="217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  <c r="AE116" s="216"/>
      <c r="AF116" s="216"/>
      <c r="AG116" s="216"/>
      <c r="AH116" s="216"/>
      <c r="AI116" s="216"/>
      <c r="AJ116" s="216"/>
      <c r="AK116" s="216"/>
      <c r="AL116" s="228"/>
      <c r="AM116" s="228"/>
      <c r="AN116" s="226"/>
      <c r="AO116" s="226"/>
      <c r="AP116" s="226"/>
      <c r="AQ116" s="226"/>
      <c r="AR116" s="226"/>
      <c r="AS116" s="226"/>
      <c r="AT116" s="226"/>
      <c r="AU116" s="226"/>
      <c r="AV116" s="226"/>
      <c r="AW116" s="226"/>
      <c r="AX116" s="226"/>
      <c r="AY116" s="226"/>
      <c r="AZ116" s="226"/>
      <c r="BA116" s="226"/>
      <c r="BB116" s="226"/>
      <c r="BC116" s="226"/>
      <c r="BD116" s="226"/>
      <c r="BE116" s="226"/>
      <c r="BF116" s="226"/>
      <c r="BG116" s="226"/>
      <c r="BH116" s="226"/>
      <c r="BI116" s="226"/>
      <c r="BJ116" s="226"/>
      <c r="BK116" s="226"/>
      <c r="BL116" s="226"/>
      <c r="BM116" s="227"/>
    </row>
    <row r="117" ht="15" spans="4:65">
      <c r="D117" s="215"/>
      <c r="E117" s="216"/>
      <c r="F117" s="216"/>
      <c r="G117" s="216"/>
      <c r="H117" s="217"/>
      <c r="I117" s="216"/>
      <c r="J117" s="218"/>
      <c r="K117" s="218"/>
      <c r="L117" s="218"/>
      <c r="M117" s="218"/>
      <c r="N117" s="218"/>
      <c r="O117" s="218"/>
      <c r="P117" s="218"/>
      <c r="Q117" s="218"/>
      <c r="R117" s="218"/>
      <c r="S117" s="216"/>
      <c r="T117" s="229"/>
      <c r="U117" s="229"/>
      <c r="V117" s="229"/>
      <c r="W117" s="229"/>
      <c r="X117" s="229"/>
      <c r="Y117" s="229"/>
      <c r="Z117" s="229"/>
      <c r="AA117" s="216"/>
      <c r="AB117" s="216"/>
      <c r="AC117" s="216"/>
      <c r="AD117" s="216"/>
      <c r="AE117" s="216"/>
      <c r="AF117" s="216"/>
      <c r="AG117" s="216"/>
      <c r="AH117" s="216"/>
      <c r="AI117" s="216"/>
      <c r="AJ117" s="216"/>
      <c r="AK117" s="216"/>
      <c r="AL117" s="225"/>
      <c r="AM117" s="225"/>
      <c r="AN117" s="226"/>
      <c r="AO117" s="226"/>
      <c r="AP117" s="226"/>
      <c r="AQ117" s="226"/>
      <c r="AR117" s="226"/>
      <c r="AS117" s="226"/>
      <c r="AT117" s="226"/>
      <c r="AU117" s="226"/>
      <c r="AV117" s="226"/>
      <c r="AW117" s="226"/>
      <c r="AX117" s="226"/>
      <c r="AY117" s="226"/>
      <c r="AZ117" s="226"/>
      <c r="BA117" s="226"/>
      <c r="BB117" s="226"/>
      <c r="BC117" s="226"/>
      <c r="BD117" s="226"/>
      <c r="BE117" s="226"/>
      <c r="BF117" s="226"/>
      <c r="BG117" s="226"/>
      <c r="BH117" s="226"/>
      <c r="BI117" s="226"/>
      <c r="BJ117" s="226"/>
      <c r="BK117" s="226"/>
      <c r="BL117" s="226"/>
      <c r="BM117" s="227"/>
    </row>
    <row r="118" ht="15" spans="4:65">
      <c r="D118" s="215"/>
      <c r="E118" s="216"/>
      <c r="F118" s="216"/>
      <c r="G118" s="216"/>
      <c r="H118" s="217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  <c r="AH118" s="216"/>
      <c r="AI118" s="216"/>
      <c r="AJ118" s="216"/>
      <c r="AK118" s="216"/>
      <c r="AL118" s="225"/>
      <c r="AM118" s="225"/>
      <c r="AN118" s="226"/>
      <c r="AO118" s="226"/>
      <c r="AP118" s="226"/>
      <c r="AQ118" s="226"/>
      <c r="AR118" s="226"/>
      <c r="AS118" s="226"/>
      <c r="AT118" s="226"/>
      <c r="AU118" s="226"/>
      <c r="AV118" s="226"/>
      <c r="AW118" s="226"/>
      <c r="AX118" s="226"/>
      <c r="AY118" s="226"/>
      <c r="AZ118" s="226"/>
      <c r="BA118" s="226"/>
      <c r="BB118" s="226"/>
      <c r="BC118" s="226"/>
      <c r="BD118" s="226"/>
      <c r="BE118" s="226"/>
      <c r="BF118" s="226"/>
      <c r="BG118" s="226"/>
      <c r="BH118" s="226"/>
      <c r="BI118" s="226"/>
      <c r="BJ118" s="226"/>
      <c r="BK118" s="226"/>
      <c r="BL118" s="226"/>
      <c r="BM118" s="227"/>
    </row>
    <row r="119" ht="15" spans="4:65">
      <c r="D119" s="215"/>
      <c r="E119" s="216"/>
      <c r="F119" s="216"/>
      <c r="G119" s="216"/>
      <c r="H119" s="217"/>
      <c r="I119" s="216"/>
      <c r="J119" s="229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  <c r="AE119" s="216"/>
      <c r="AF119" s="216"/>
      <c r="AG119" s="216"/>
      <c r="AH119" s="216"/>
      <c r="AI119" s="216"/>
      <c r="AJ119" s="216"/>
      <c r="AK119" s="216"/>
      <c r="AL119" s="225"/>
      <c r="AM119" s="225"/>
      <c r="AN119" s="226"/>
      <c r="AO119" s="226"/>
      <c r="AP119" s="226"/>
      <c r="AQ119" s="226"/>
      <c r="AR119" s="226"/>
      <c r="AS119" s="226"/>
      <c r="AT119" s="226"/>
      <c r="AU119" s="226"/>
      <c r="AV119" s="226"/>
      <c r="AW119" s="226"/>
      <c r="AX119" s="226"/>
      <c r="AY119" s="226"/>
      <c r="AZ119" s="226"/>
      <c r="BA119" s="226"/>
      <c r="BB119" s="226"/>
      <c r="BC119" s="226"/>
      <c r="BD119" s="226"/>
      <c r="BE119" s="226"/>
      <c r="BF119" s="226"/>
      <c r="BG119" s="226"/>
      <c r="BH119" s="226"/>
      <c r="BI119" s="226"/>
      <c r="BJ119" s="226"/>
      <c r="BK119" s="226"/>
      <c r="BL119" s="226"/>
      <c r="BM119" s="227"/>
    </row>
    <row r="120" ht="15" spans="4:65">
      <c r="D120" s="215"/>
      <c r="E120" s="216"/>
      <c r="F120" s="216"/>
      <c r="G120" s="216"/>
      <c r="H120" s="217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  <c r="AK120" s="216"/>
      <c r="AL120" s="225"/>
      <c r="AM120" s="225"/>
      <c r="AN120" s="226"/>
      <c r="AO120" s="226"/>
      <c r="AP120" s="226"/>
      <c r="AQ120" s="226"/>
      <c r="AR120" s="226"/>
      <c r="AS120" s="226"/>
      <c r="AT120" s="226"/>
      <c r="AU120" s="226"/>
      <c r="AV120" s="226"/>
      <c r="AW120" s="226"/>
      <c r="AX120" s="226"/>
      <c r="AY120" s="226"/>
      <c r="AZ120" s="226"/>
      <c r="BA120" s="226"/>
      <c r="BB120" s="226"/>
      <c r="BC120" s="226"/>
      <c r="BD120" s="226"/>
      <c r="BE120" s="226"/>
      <c r="BF120" s="226"/>
      <c r="BG120" s="226"/>
      <c r="BH120" s="226"/>
      <c r="BI120" s="226"/>
      <c r="BJ120" s="226"/>
      <c r="BK120" s="226"/>
      <c r="BL120" s="226"/>
      <c r="BM120" s="227"/>
    </row>
    <row r="121" ht="15" spans="4:65">
      <c r="D121" s="215"/>
      <c r="E121" s="216"/>
      <c r="F121" s="216"/>
      <c r="G121" s="216"/>
      <c r="H121" s="217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  <c r="AE121" s="216"/>
      <c r="AF121" s="216"/>
      <c r="AG121" s="216"/>
      <c r="AH121" s="216"/>
      <c r="AI121" s="216"/>
      <c r="AJ121" s="216"/>
      <c r="AK121" s="216"/>
      <c r="AL121" s="225"/>
      <c r="AM121" s="225"/>
      <c r="AN121" s="226"/>
      <c r="AO121" s="226"/>
      <c r="AP121" s="226"/>
      <c r="AQ121" s="226"/>
      <c r="AR121" s="226"/>
      <c r="AS121" s="226"/>
      <c r="AT121" s="226"/>
      <c r="AU121" s="226"/>
      <c r="AV121" s="226"/>
      <c r="AW121" s="226"/>
      <c r="AX121" s="226"/>
      <c r="AY121" s="226"/>
      <c r="AZ121" s="226"/>
      <c r="BA121" s="226"/>
      <c r="BB121" s="226"/>
      <c r="BC121" s="226"/>
      <c r="BD121" s="226"/>
      <c r="BE121" s="226"/>
      <c r="BF121" s="226"/>
      <c r="BG121" s="226"/>
      <c r="BH121" s="226"/>
      <c r="BI121" s="226"/>
      <c r="BJ121" s="226"/>
      <c r="BK121" s="226"/>
      <c r="BL121" s="226"/>
      <c r="BM121" s="227"/>
    </row>
    <row r="122" ht="15" spans="4:65">
      <c r="D122" s="215"/>
      <c r="E122" s="216"/>
      <c r="F122" s="216"/>
      <c r="G122" s="216"/>
      <c r="H122" s="217"/>
      <c r="I122" s="216"/>
      <c r="J122" s="218"/>
      <c r="K122" s="218"/>
      <c r="L122" s="218"/>
      <c r="M122" s="218"/>
      <c r="N122" s="218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  <c r="AI122" s="216"/>
      <c r="AJ122" s="216"/>
      <c r="AK122" s="216"/>
      <c r="AL122" s="225"/>
      <c r="AM122" s="225"/>
      <c r="AN122" s="226"/>
      <c r="AO122" s="226"/>
      <c r="AP122" s="226"/>
      <c r="AQ122" s="226"/>
      <c r="AR122" s="226"/>
      <c r="AS122" s="226"/>
      <c r="AT122" s="226"/>
      <c r="AU122" s="226"/>
      <c r="AV122" s="226"/>
      <c r="AW122" s="226"/>
      <c r="AX122" s="226"/>
      <c r="AY122" s="226"/>
      <c r="AZ122" s="226"/>
      <c r="BA122" s="226"/>
      <c r="BB122" s="226"/>
      <c r="BC122" s="226"/>
      <c r="BD122" s="226"/>
      <c r="BE122" s="226"/>
      <c r="BF122" s="226"/>
      <c r="BG122" s="226"/>
      <c r="BH122" s="226"/>
      <c r="BI122" s="226"/>
      <c r="BJ122" s="226"/>
      <c r="BK122" s="226"/>
      <c r="BL122" s="226"/>
      <c r="BM122" s="227"/>
    </row>
    <row r="123" ht="15" spans="4:65">
      <c r="D123" s="215"/>
      <c r="E123" s="216"/>
      <c r="F123" s="216"/>
      <c r="G123" s="216"/>
      <c r="H123" s="217"/>
      <c r="I123" s="216"/>
      <c r="J123" s="218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216"/>
      <c r="AH123" s="216"/>
      <c r="AI123" s="216"/>
      <c r="AJ123" s="216"/>
      <c r="AK123" s="216"/>
      <c r="AL123" s="225"/>
      <c r="AM123" s="225"/>
      <c r="AN123" s="226"/>
      <c r="AO123" s="226"/>
      <c r="AP123" s="226"/>
      <c r="AQ123" s="226"/>
      <c r="AR123" s="226"/>
      <c r="AS123" s="226"/>
      <c r="AT123" s="226"/>
      <c r="AU123" s="226"/>
      <c r="AV123" s="226"/>
      <c r="AW123" s="226"/>
      <c r="AX123" s="226"/>
      <c r="AY123" s="226"/>
      <c r="AZ123" s="226"/>
      <c r="BA123" s="226"/>
      <c r="BB123" s="226"/>
      <c r="BC123" s="226"/>
      <c r="BD123" s="226"/>
      <c r="BE123" s="226"/>
      <c r="BF123" s="226"/>
      <c r="BG123" s="226"/>
      <c r="BH123" s="226"/>
      <c r="BI123" s="226"/>
      <c r="BJ123" s="226"/>
      <c r="BK123" s="226"/>
      <c r="BL123" s="226"/>
      <c r="BM123" s="227"/>
    </row>
    <row r="124" ht="15" spans="4:65">
      <c r="D124" s="215"/>
      <c r="E124" s="216"/>
      <c r="F124" s="216"/>
      <c r="G124" s="216"/>
      <c r="H124" s="217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  <c r="AD124" s="216"/>
      <c r="AE124" s="216"/>
      <c r="AF124" s="216"/>
      <c r="AG124" s="216"/>
      <c r="AH124" s="216"/>
      <c r="AI124" s="216"/>
      <c r="AJ124" s="216"/>
      <c r="AK124" s="216"/>
      <c r="AL124" s="225"/>
      <c r="AM124" s="225"/>
      <c r="AN124" s="226"/>
      <c r="AO124" s="226"/>
      <c r="AP124" s="226"/>
      <c r="AQ124" s="226"/>
      <c r="AR124" s="226"/>
      <c r="AS124" s="226"/>
      <c r="AT124" s="226"/>
      <c r="AU124" s="226"/>
      <c r="AV124" s="226"/>
      <c r="AW124" s="226"/>
      <c r="AX124" s="226"/>
      <c r="AY124" s="226"/>
      <c r="AZ124" s="226"/>
      <c r="BA124" s="226"/>
      <c r="BB124" s="226"/>
      <c r="BC124" s="226"/>
      <c r="BD124" s="226"/>
      <c r="BE124" s="226"/>
      <c r="BF124" s="226"/>
      <c r="BG124" s="226"/>
      <c r="BH124" s="226"/>
      <c r="BI124" s="226"/>
      <c r="BJ124" s="226"/>
      <c r="BK124" s="226"/>
      <c r="BL124" s="226"/>
      <c r="BM124" s="227"/>
    </row>
    <row r="125" ht="15" spans="4:65">
      <c r="D125" s="215"/>
      <c r="E125" s="216"/>
      <c r="F125" s="216"/>
      <c r="G125" s="216"/>
      <c r="H125" s="217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  <c r="AD125" s="216"/>
      <c r="AE125" s="216"/>
      <c r="AF125" s="216"/>
      <c r="AG125" s="216"/>
      <c r="AH125" s="216"/>
      <c r="AI125" s="216"/>
      <c r="AJ125" s="216"/>
      <c r="AK125" s="216"/>
      <c r="AL125" s="225"/>
      <c r="AM125" s="225"/>
      <c r="AN125" s="226"/>
      <c r="AO125" s="226"/>
      <c r="AP125" s="226"/>
      <c r="AQ125" s="226"/>
      <c r="AR125" s="226"/>
      <c r="AS125" s="226"/>
      <c r="AT125" s="226"/>
      <c r="AU125" s="226"/>
      <c r="AV125" s="226"/>
      <c r="AW125" s="226"/>
      <c r="AX125" s="226"/>
      <c r="AY125" s="226"/>
      <c r="AZ125" s="226"/>
      <c r="BA125" s="226"/>
      <c r="BB125" s="226"/>
      <c r="BC125" s="226"/>
      <c r="BD125" s="226"/>
      <c r="BE125" s="226"/>
      <c r="BF125" s="226"/>
      <c r="BG125" s="226"/>
      <c r="BH125" s="226"/>
      <c r="BI125" s="226"/>
      <c r="BJ125" s="226"/>
      <c r="BK125" s="226"/>
      <c r="BL125" s="226"/>
      <c r="BM125" s="227"/>
    </row>
    <row r="126" ht="15" spans="4:65">
      <c r="D126" s="215"/>
      <c r="E126" s="216"/>
      <c r="F126" s="216"/>
      <c r="G126" s="216"/>
      <c r="H126" s="217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  <c r="AE126" s="216"/>
      <c r="AF126" s="216"/>
      <c r="AG126" s="216"/>
      <c r="AH126" s="216"/>
      <c r="AI126" s="216"/>
      <c r="AJ126" s="216"/>
      <c r="AK126" s="216"/>
      <c r="AL126" s="225"/>
      <c r="AM126" s="225"/>
      <c r="AN126" s="226"/>
      <c r="AO126" s="226"/>
      <c r="AP126" s="226"/>
      <c r="AQ126" s="226"/>
      <c r="AR126" s="226"/>
      <c r="AS126" s="226"/>
      <c r="AT126" s="226"/>
      <c r="AU126" s="226"/>
      <c r="AV126" s="226"/>
      <c r="AW126" s="226"/>
      <c r="AX126" s="226"/>
      <c r="AY126" s="226"/>
      <c r="AZ126" s="226"/>
      <c r="BA126" s="226"/>
      <c r="BB126" s="226"/>
      <c r="BC126" s="226"/>
      <c r="BD126" s="226"/>
      <c r="BE126" s="226"/>
      <c r="BF126" s="226"/>
      <c r="BG126" s="226"/>
      <c r="BH126" s="226"/>
      <c r="BI126" s="226"/>
      <c r="BJ126" s="226"/>
      <c r="BK126" s="226"/>
      <c r="BL126" s="226"/>
      <c r="BM126" s="227"/>
    </row>
    <row r="127" ht="15" spans="4:65">
      <c r="D127" s="215"/>
      <c r="E127" s="216"/>
      <c r="F127" s="216"/>
      <c r="G127" s="216"/>
      <c r="H127" s="217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  <c r="AE127" s="216"/>
      <c r="AF127" s="216"/>
      <c r="AG127" s="216"/>
      <c r="AH127" s="216"/>
      <c r="AI127" s="216"/>
      <c r="AJ127" s="216"/>
      <c r="AK127" s="216"/>
      <c r="AL127" s="225"/>
      <c r="AM127" s="225"/>
      <c r="AN127" s="226"/>
      <c r="AO127" s="226"/>
      <c r="AP127" s="226"/>
      <c r="AQ127" s="226"/>
      <c r="AR127" s="226"/>
      <c r="AS127" s="226"/>
      <c r="AT127" s="226"/>
      <c r="AU127" s="226"/>
      <c r="AV127" s="226"/>
      <c r="AW127" s="226"/>
      <c r="AX127" s="226"/>
      <c r="AY127" s="226"/>
      <c r="AZ127" s="226"/>
      <c r="BA127" s="226"/>
      <c r="BB127" s="226"/>
      <c r="BC127" s="226"/>
      <c r="BD127" s="226"/>
      <c r="BE127" s="226"/>
      <c r="BF127" s="226"/>
      <c r="BG127" s="226"/>
      <c r="BH127" s="226"/>
      <c r="BI127" s="226"/>
      <c r="BJ127" s="226"/>
      <c r="BK127" s="226"/>
      <c r="BL127" s="226"/>
      <c r="BM127" s="227"/>
    </row>
    <row r="128" ht="15" spans="4:65">
      <c r="D128" s="215"/>
      <c r="E128" s="216"/>
      <c r="F128" s="216"/>
      <c r="G128" s="216"/>
      <c r="H128" s="217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  <c r="AD128" s="216"/>
      <c r="AE128" s="216"/>
      <c r="AF128" s="216"/>
      <c r="AG128" s="216"/>
      <c r="AH128" s="216"/>
      <c r="AI128" s="216"/>
      <c r="AJ128" s="216"/>
      <c r="AK128" s="216"/>
      <c r="AL128" s="225"/>
      <c r="AM128" s="225"/>
      <c r="AN128" s="226"/>
      <c r="AO128" s="226"/>
      <c r="AP128" s="226"/>
      <c r="AQ128" s="226"/>
      <c r="AR128" s="226"/>
      <c r="AS128" s="226"/>
      <c r="AT128" s="226"/>
      <c r="AU128" s="226"/>
      <c r="AV128" s="226"/>
      <c r="AW128" s="226"/>
      <c r="AX128" s="226"/>
      <c r="AY128" s="226"/>
      <c r="AZ128" s="226"/>
      <c r="BA128" s="226"/>
      <c r="BB128" s="226"/>
      <c r="BC128" s="226"/>
      <c r="BD128" s="226"/>
      <c r="BE128" s="226"/>
      <c r="BF128" s="226"/>
      <c r="BG128" s="226"/>
      <c r="BH128" s="226"/>
      <c r="BI128" s="226"/>
      <c r="BJ128" s="226"/>
      <c r="BK128" s="226"/>
      <c r="BL128" s="226"/>
      <c r="BM128" s="227"/>
    </row>
    <row r="129" ht="15" spans="4:65">
      <c r="D129" s="215"/>
      <c r="E129" s="216"/>
      <c r="F129" s="216"/>
      <c r="G129" s="216"/>
      <c r="H129" s="217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  <c r="AD129" s="216"/>
      <c r="AE129" s="216"/>
      <c r="AF129" s="216"/>
      <c r="AG129" s="216"/>
      <c r="AH129" s="216"/>
      <c r="AI129" s="216"/>
      <c r="AJ129" s="216"/>
      <c r="AK129" s="216"/>
      <c r="AL129" s="225"/>
      <c r="AM129" s="225"/>
      <c r="AN129" s="226"/>
      <c r="AO129" s="226"/>
      <c r="AP129" s="226"/>
      <c r="AQ129" s="226"/>
      <c r="AR129" s="226"/>
      <c r="AS129" s="226"/>
      <c r="AT129" s="226"/>
      <c r="AU129" s="226"/>
      <c r="AV129" s="226"/>
      <c r="AW129" s="226"/>
      <c r="AX129" s="226"/>
      <c r="AY129" s="226"/>
      <c r="AZ129" s="226"/>
      <c r="BA129" s="226"/>
      <c r="BB129" s="226"/>
      <c r="BC129" s="226"/>
      <c r="BD129" s="226"/>
      <c r="BE129" s="226"/>
      <c r="BF129" s="226"/>
      <c r="BG129" s="226"/>
      <c r="BH129" s="226"/>
      <c r="BI129" s="226"/>
      <c r="BJ129" s="226"/>
      <c r="BK129" s="226"/>
      <c r="BL129" s="226"/>
      <c r="BM129" s="227"/>
    </row>
    <row r="130" ht="15" spans="4:65">
      <c r="D130" s="215"/>
      <c r="E130" s="216"/>
      <c r="F130" s="216"/>
      <c r="G130" s="216"/>
      <c r="H130" s="217"/>
      <c r="I130" s="216"/>
      <c r="J130" s="218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8"/>
      <c r="X130" s="216"/>
      <c r="Y130" s="216"/>
      <c r="Z130" s="216"/>
      <c r="AA130" s="216"/>
      <c r="AB130" s="216"/>
      <c r="AC130" s="216"/>
      <c r="AD130" s="216"/>
      <c r="AE130" s="216"/>
      <c r="AF130" s="216"/>
      <c r="AG130" s="216"/>
      <c r="AH130" s="216"/>
      <c r="AI130" s="216"/>
      <c r="AJ130" s="216"/>
      <c r="AK130" s="216"/>
      <c r="AL130" s="225"/>
      <c r="AM130" s="225"/>
      <c r="AN130" s="226"/>
      <c r="AO130" s="226"/>
      <c r="AP130" s="226"/>
      <c r="AQ130" s="226"/>
      <c r="AR130" s="226"/>
      <c r="AS130" s="226"/>
      <c r="AT130" s="226"/>
      <c r="AU130" s="226"/>
      <c r="AV130" s="226"/>
      <c r="AW130" s="226"/>
      <c r="AX130" s="226"/>
      <c r="AY130" s="226"/>
      <c r="AZ130" s="226"/>
      <c r="BA130" s="226"/>
      <c r="BB130" s="226"/>
      <c r="BC130" s="226"/>
      <c r="BD130" s="226"/>
      <c r="BE130" s="226"/>
      <c r="BF130" s="226"/>
      <c r="BG130" s="226"/>
      <c r="BH130" s="226"/>
      <c r="BI130" s="226"/>
      <c r="BJ130" s="226"/>
      <c r="BK130" s="226"/>
      <c r="BL130" s="226"/>
      <c r="BM130" s="227"/>
    </row>
    <row r="131" ht="15" spans="4:65">
      <c r="D131" s="215"/>
      <c r="E131" s="216"/>
      <c r="F131" s="216"/>
      <c r="G131" s="216"/>
      <c r="H131" s="217"/>
      <c r="I131" s="216"/>
      <c r="J131" s="218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8"/>
      <c r="X131" s="216"/>
      <c r="Y131" s="216"/>
      <c r="Z131" s="216"/>
      <c r="AA131" s="216"/>
      <c r="AB131" s="216"/>
      <c r="AC131" s="216"/>
      <c r="AD131" s="216"/>
      <c r="AE131" s="216"/>
      <c r="AF131" s="216"/>
      <c r="AG131" s="216"/>
      <c r="AH131" s="216"/>
      <c r="AI131" s="216"/>
      <c r="AJ131" s="216"/>
      <c r="AK131" s="216"/>
      <c r="AL131" s="225"/>
      <c r="AM131" s="225"/>
      <c r="AN131" s="226"/>
      <c r="AO131" s="226"/>
      <c r="AP131" s="226"/>
      <c r="AQ131" s="226"/>
      <c r="AR131" s="226"/>
      <c r="AS131" s="226"/>
      <c r="AT131" s="226"/>
      <c r="AU131" s="226"/>
      <c r="AV131" s="226"/>
      <c r="AW131" s="226"/>
      <c r="AX131" s="226"/>
      <c r="AY131" s="226"/>
      <c r="AZ131" s="226"/>
      <c r="BA131" s="226"/>
      <c r="BB131" s="226"/>
      <c r="BC131" s="226"/>
      <c r="BD131" s="226"/>
      <c r="BE131" s="226"/>
      <c r="BF131" s="226"/>
      <c r="BG131" s="226"/>
      <c r="BH131" s="226"/>
      <c r="BI131" s="226"/>
      <c r="BJ131" s="226"/>
      <c r="BK131" s="226"/>
      <c r="BL131" s="226"/>
      <c r="BM131" s="227"/>
    </row>
    <row r="132" ht="15" spans="4:65">
      <c r="D132" s="215"/>
      <c r="E132" s="216"/>
      <c r="F132" s="216"/>
      <c r="G132" s="216"/>
      <c r="H132" s="217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  <c r="AD132" s="216"/>
      <c r="AE132" s="216"/>
      <c r="AF132" s="216"/>
      <c r="AG132" s="216"/>
      <c r="AH132" s="216"/>
      <c r="AI132" s="216"/>
      <c r="AJ132" s="216"/>
      <c r="AK132" s="216"/>
      <c r="AL132" s="225"/>
      <c r="AM132" s="225"/>
      <c r="AN132" s="226"/>
      <c r="AO132" s="226"/>
      <c r="AP132" s="226"/>
      <c r="AQ132" s="226"/>
      <c r="AR132" s="226"/>
      <c r="AS132" s="226"/>
      <c r="AT132" s="226"/>
      <c r="AU132" s="226"/>
      <c r="AV132" s="226"/>
      <c r="AW132" s="226"/>
      <c r="AX132" s="226"/>
      <c r="AY132" s="226"/>
      <c r="AZ132" s="226"/>
      <c r="BA132" s="226"/>
      <c r="BB132" s="226"/>
      <c r="BC132" s="226"/>
      <c r="BD132" s="226"/>
      <c r="BE132" s="226"/>
      <c r="BF132" s="226"/>
      <c r="BG132" s="226"/>
      <c r="BH132" s="226"/>
      <c r="BI132" s="226"/>
      <c r="BJ132" s="226"/>
      <c r="BK132" s="226"/>
      <c r="BL132" s="226"/>
      <c r="BM132" s="227"/>
    </row>
    <row r="133" ht="15" spans="4:65">
      <c r="D133" s="215"/>
      <c r="E133" s="216"/>
      <c r="F133" s="216"/>
      <c r="G133" s="216"/>
      <c r="H133" s="217"/>
      <c r="I133" s="216"/>
      <c r="J133" s="218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  <c r="AD133" s="216"/>
      <c r="AE133" s="216"/>
      <c r="AF133" s="216"/>
      <c r="AG133" s="216"/>
      <c r="AH133" s="216"/>
      <c r="AI133" s="216"/>
      <c r="AJ133" s="216"/>
      <c r="AK133" s="216"/>
      <c r="AL133" s="225"/>
      <c r="AM133" s="225"/>
      <c r="AN133" s="226"/>
      <c r="AO133" s="226"/>
      <c r="AP133" s="226"/>
      <c r="AQ133" s="226"/>
      <c r="AR133" s="226"/>
      <c r="AS133" s="226"/>
      <c r="AT133" s="226"/>
      <c r="AU133" s="226"/>
      <c r="AV133" s="226"/>
      <c r="AW133" s="226"/>
      <c r="AX133" s="226"/>
      <c r="AY133" s="226"/>
      <c r="AZ133" s="226"/>
      <c r="BA133" s="226"/>
      <c r="BB133" s="226"/>
      <c r="BC133" s="226"/>
      <c r="BD133" s="226"/>
      <c r="BE133" s="226"/>
      <c r="BF133" s="226"/>
      <c r="BG133" s="226"/>
      <c r="BH133" s="226"/>
      <c r="BI133" s="226"/>
      <c r="BJ133" s="226"/>
      <c r="BK133" s="226"/>
      <c r="BL133" s="226"/>
      <c r="BM133" s="227"/>
    </row>
    <row r="134" ht="15" spans="4:65">
      <c r="D134" s="215"/>
      <c r="E134" s="216"/>
      <c r="F134" s="216"/>
      <c r="G134" s="216"/>
      <c r="H134" s="217"/>
      <c r="I134" s="216"/>
      <c r="J134" s="218"/>
      <c r="K134" s="218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  <c r="AE134" s="216"/>
      <c r="AF134" s="216"/>
      <c r="AG134" s="216"/>
      <c r="AH134" s="216"/>
      <c r="AI134" s="216"/>
      <c r="AJ134" s="216"/>
      <c r="AK134" s="216"/>
      <c r="AL134" s="225"/>
      <c r="AM134" s="225"/>
      <c r="AN134" s="226"/>
      <c r="AO134" s="226"/>
      <c r="AP134" s="226"/>
      <c r="AQ134" s="226"/>
      <c r="AR134" s="226"/>
      <c r="AS134" s="226"/>
      <c r="AT134" s="226"/>
      <c r="AU134" s="226"/>
      <c r="AV134" s="226"/>
      <c r="AW134" s="226"/>
      <c r="AX134" s="226"/>
      <c r="AY134" s="226"/>
      <c r="AZ134" s="226"/>
      <c r="BA134" s="226"/>
      <c r="BB134" s="226"/>
      <c r="BC134" s="226"/>
      <c r="BD134" s="226"/>
      <c r="BE134" s="226"/>
      <c r="BF134" s="226"/>
      <c r="BG134" s="226"/>
      <c r="BH134" s="226"/>
      <c r="BI134" s="226"/>
      <c r="BJ134" s="226"/>
      <c r="BK134" s="226"/>
      <c r="BL134" s="226"/>
      <c r="BM134" s="227"/>
    </row>
    <row r="135" ht="15" spans="4:65">
      <c r="D135" s="215"/>
      <c r="E135" s="216"/>
      <c r="F135" s="216"/>
      <c r="G135" s="216"/>
      <c r="H135" s="217"/>
      <c r="I135" s="216"/>
      <c r="J135" s="218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  <c r="AD135" s="216"/>
      <c r="AE135" s="216"/>
      <c r="AF135" s="216"/>
      <c r="AG135" s="216"/>
      <c r="AH135" s="216"/>
      <c r="AI135" s="216"/>
      <c r="AJ135" s="216"/>
      <c r="AK135" s="216"/>
      <c r="AL135" s="225"/>
      <c r="AM135" s="225"/>
      <c r="AN135" s="226"/>
      <c r="AO135" s="226"/>
      <c r="AP135" s="226"/>
      <c r="AQ135" s="226"/>
      <c r="AR135" s="226"/>
      <c r="AS135" s="226"/>
      <c r="AT135" s="226"/>
      <c r="AU135" s="226"/>
      <c r="AV135" s="226"/>
      <c r="AW135" s="226"/>
      <c r="AX135" s="226"/>
      <c r="AY135" s="226"/>
      <c r="AZ135" s="226"/>
      <c r="BA135" s="226"/>
      <c r="BB135" s="226"/>
      <c r="BC135" s="226"/>
      <c r="BD135" s="226"/>
      <c r="BE135" s="226"/>
      <c r="BF135" s="226"/>
      <c r="BG135" s="226"/>
      <c r="BH135" s="226"/>
      <c r="BI135" s="226"/>
      <c r="BJ135" s="226"/>
      <c r="BK135" s="226"/>
      <c r="BL135" s="226"/>
      <c r="BM135" s="227"/>
    </row>
    <row r="136" ht="15" spans="4:65">
      <c r="D136" s="215"/>
      <c r="E136" s="216"/>
      <c r="F136" s="216"/>
      <c r="G136" s="216"/>
      <c r="H136" s="217"/>
      <c r="I136" s="216"/>
      <c r="J136" s="218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  <c r="AD136" s="216"/>
      <c r="AE136" s="216"/>
      <c r="AF136" s="216"/>
      <c r="AG136" s="216"/>
      <c r="AH136" s="216"/>
      <c r="AI136" s="216"/>
      <c r="AJ136" s="216"/>
      <c r="AK136" s="216"/>
      <c r="AL136" s="225"/>
      <c r="AM136" s="225"/>
      <c r="AN136" s="226"/>
      <c r="AO136" s="226"/>
      <c r="AP136" s="226"/>
      <c r="AQ136" s="226"/>
      <c r="AR136" s="226"/>
      <c r="AS136" s="226"/>
      <c r="AT136" s="226"/>
      <c r="AU136" s="226"/>
      <c r="AV136" s="226"/>
      <c r="AW136" s="226"/>
      <c r="AX136" s="226"/>
      <c r="AY136" s="226"/>
      <c r="AZ136" s="226"/>
      <c r="BA136" s="226"/>
      <c r="BB136" s="226"/>
      <c r="BC136" s="226"/>
      <c r="BD136" s="226"/>
      <c r="BE136" s="226"/>
      <c r="BF136" s="226"/>
      <c r="BG136" s="226"/>
      <c r="BH136" s="226"/>
      <c r="BI136" s="226"/>
      <c r="BJ136" s="226"/>
      <c r="BK136" s="226"/>
      <c r="BL136" s="226"/>
      <c r="BM136" s="227"/>
    </row>
    <row r="137" ht="15" spans="4:65">
      <c r="D137" s="215"/>
      <c r="E137" s="216"/>
      <c r="F137" s="216"/>
      <c r="G137" s="216"/>
      <c r="H137" s="217"/>
      <c r="I137" s="215"/>
      <c r="J137" s="218"/>
      <c r="K137" s="218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16"/>
      <c r="AG137" s="216"/>
      <c r="AH137" s="216"/>
      <c r="AI137" s="216"/>
      <c r="AJ137" s="216"/>
      <c r="AK137" s="216"/>
      <c r="AL137" s="225"/>
      <c r="AM137" s="225"/>
      <c r="AN137" s="226"/>
      <c r="AO137" s="226"/>
      <c r="AP137" s="226"/>
      <c r="AQ137" s="226"/>
      <c r="AR137" s="226"/>
      <c r="AS137" s="226"/>
      <c r="AT137" s="226"/>
      <c r="AU137" s="226"/>
      <c r="AV137" s="226"/>
      <c r="AW137" s="226"/>
      <c r="AX137" s="226"/>
      <c r="AY137" s="226"/>
      <c r="AZ137" s="226"/>
      <c r="BA137" s="226"/>
      <c r="BB137" s="226"/>
      <c r="BC137" s="226"/>
      <c r="BD137" s="226"/>
      <c r="BE137" s="226"/>
      <c r="BF137" s="226"/>
      <c r="BG137" s="226"/>
      <c r="BH137" s="226"/>
      <c r="BI137" s="226"/>
      <c r="BJ137" s="226"/>
      <c r="BK137" s="226"/>
      <c r="BL137" s="226"/>
      <c r="BM137" s="227"/>
    </row>
    <row r="138" ht="15" spans="4:65">
      <c r="D138" s="215"/>
      <c r="E138" s="216"/>
      <c r="F138" s="216"/>
      <c r="G138" s="216"/>
      <c r="H138" s="217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  <c r="AE138" s="216"/>
      <c r="AF138" s="216"/>
      <c r="AG138" s="216"/>
      <c r="AH138" s="216"/>
      <c r="AI138" s="216"/>
      <c r="AJ138" s="216"/>
      <c r="AK138" s="216"/>
      <c r="AL138" s="228"/>
      <c r="AM138" s="228"/>
      <c r="AN138" s="226"/>
      <c r="AO138" s="226"/>
      <c r="AP138" s="226"/>
      <c r="AQ138" s="226"/>
      <c r="AR138" s="226"/>
      <c r="AS138" s="226"/>
      <c r="AT138" s="226"/>
      <c r="AU138" s="226"/>
      <c r="AV138" s="226"/>
      <c r="AW138" s="226"/>
      <c r="AX138" s="226"/>
      <c r="AY138" s="226"/>
      <c r="AZ138" s="226"/>
      <c r="BA138" s="226"/>
      <c r="BB138" s="226"/>
      <c r="BC138" s="226"/>
      <c r="BD138" s="226"/>
      <c r="BE138" s="226"/>
      <c r="BF138" s="226"/>
      <c r="BG138" s="226"/>
      <c r="BH138" s="226"/>
      <c r="BI138" s="226"/>
      <c r="BJ138" s="226"/>
      <c r="BK138" s="226"/>
      <c r="BL138" s="226"/>
      <c r="BM138" s="227"/>
    </row>
    <row r="139" ht="15" spans="4:65">
      <c r="D139" s="215"/>
      <c r="E139" s="216"/>
      <c r="F139" s="216"/>
      <c r="G139" s="216"/>
      <c r="H139" s="217"/>
      <c r="I139" s="215"/>
      <c r="J139" s="218"/>
      <c r="K139" s="218"/>
      <c r="L139" s="218"/>
      <c r="M139" s="218"/>
      <c r="N139" s="218"/>
      <c r="O139" s="218"/>
      <c r="P139" s="218"/>
      <c r="Q139" s="218"/>
      <c r="R139" s="218"/>
      <c r="S139" s="216"/>
      <c r="T139" s="229"/>
      <c r="U139" s="229"/>
      <c r="V139" s="229"/>
      <c r="W139" s="229"/>
      <c r="X139" s="216"/>
      <c r="Y139" s="216"/>
      <c r="Z139" s="216"/>
      <c r="AA139" s="216"/>
      <c r="AB139" s="216"/>
      <c r="AC139" s="216"/>
      <c r="AD139" s="216"/>
      <c r="AE139" s="216"/>
      <c r="AF139" s="216"/>
      <c r="AG139" s="216"/>
      <c r="AH139" s="216"/>
      <c r="AI139" s="216"/>
      <c r="AJ139" s="216"/>
      <c r="AK139" s="216"/>
      <c r="AL139" s="225"/>
      <c r="AM139" s="225"/>
      <c r="AN139" s="226"/>
      <c r="AO139" s="226"/>
      <c r="AP139" s="226"/>
      <c r="AQ139" s="226"/>
      <c r="AR139" s="226"/>
      <c r="AS139" s="226"/>
      <c r="AT139" s="226"/>
      <c r="AU139" s="226"/>
      <c r="AV139" s="226"/>
      <c r="AW139" s="226"/>
      <c r="AX139" s="226"/>
      <c r="AY139" s="226"/>
      <c r="AZ139" s="226"/>
      <c r="BA139" s="226"/>
      <c r="BB139" s="226"/>
      <c r="BC139" s="226"/>
      <c r="BD139" s="226"/>
      <c r="BE139" s="226"/>
      <c r="BF139" s="226"/>
      <c r="BG139" s="226"/>
      <c r="BH139" s="226"/>
      <c r="BI139" s="226"/>
      <c r="BJ139" s="226"/>
      <c r="BK139" s="226"/>
      <c r="BL139" s="226"/>
      <c r="BM139" s="227"/>
    </row>
    <row r="140" ht="15" spans="4:65">
      <c r="D140" s="215"/>
      <c r="E140" s="216"/>
      <c r="F140" s="216"/>
      <c r="G140" s="216"/>
      <c r="H140" s="217"/>
      <c r="I140" s="215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  <c r="AD140" s="216"/>
      <c r="AE140" s="216"/>
      <c r="AF140" s="216"/>
      <c r="AG140" s="216"/>
      <c r="AH140" s="216"/>
      <c r="AI140" s="216"/>
      <c r="AJ140" s="216"/>
      <c r="AK140" s="216"/>
      <c r="AL140" s="225"/>
      <c r="AM140" s="225"/>
      <c r="AN140" s="226"/>
      <c r="AO140" s="226"/>
      <c r="AP140" s="226"/>
      <c r="AQ140" s="226"/>
      <c r="AR140" s="226"/>
      <c r="AS140" s="226"/>
      <c r="AT140" s="226"/>
      <c r="AU140" s="226"/>
      <c r="AV140" s="226"/>
      <c r="AW140" s="226"/>
      <c r="AX140" s="226"/>
      <c r="AY140" s="226"/>
      <c r="AZ140" s="226"/>
      <c r="BA140" s="226"/>
      <c r="BB140" s="226"/>
      <c r="BC140" s="226"/>
      <c r="BD140" s="226"/>
      <c r="BE140" s="226"/>
      <c r="BF140" s="226"/>
      <c r="BG140" s="226"/>
      <c r="BH140" s="226"/>
      <c r="BI140" s="226"/>
      <c r="BJ140" s="226"/>
      <c r="BK140" s="226"/>
      <c r="BL140" s="226"/>
      <c r="BM140" s="227"/>
    </row>
    <row r="141" ht="15" spans="4:65">
      <c r="D141" s="215"/>
      <c r="E141" s="216"/>
      <c r="F141" s="216"/>
      <c r="G141" s="216"/>
      <c r="H141" s="217"/>
      <c r="I141" s="216"/>
      <c r="J141" s="229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  <c r="AD141" s="216"/>
      <c r="AE141" s="216"/>
      <c r="AF141" s="216"/>
      <c r="AG141" s="216"/>
      <c r="AH141" s="216"/>
      <c r="AI141" s="216"/>
      <c r="AJ141" s="216"/>
      <c r="AK141" s="216"/>
      <c r="AL141" s="225"/>
      <c r="AM141" s="225"/>
      <c r="AN141" s="226"/>
      <c r="AO141" s="226"/>
      <c r="AP141" s="226"/>
      <c r="AQ141" s="226"/>
      <c r="AR141" s="226"/>
      <c r="AS141" s="226"/>
      <c r="AT141" s="226"/>
      <c r="AU141" s="226"/>
      <c r="AV141" s="226"/>
      <c r="AW141" s="226"/>
      <c r="AX141" s="226"/>
      <c r="AY141" s="226"/>
      <c r="AZ141" s="226"/>
      <c r="BA141" s="226"/>
      <c r="BB141" s="226"/>
      <c r="BC141" s="226"/>
      <c r="BD141" s="226"/>
      <c r="BE141" s="226"/>
      <c r="BF141" s="226"/>
      <c r="BG141" s="226"/>
      <c r="BH141" s="226"/>
      <c r="BI141" s="226"/>
      <c r="BJ141" s="226"/>
      <c r="BK141" s="226"/>
      <c r="BL141" s="226"/>
      <c r="BM141" s="227"/>
    </row>
    <row r="142" ht="15" spans="4:65">
      <c r="D142" s="215"/>
      <c r="E142" s="216"/>
      <c r="F142" s="216"/>
      <c r="G142" s="216"/>
      <c r="H142" s="217"/>
      <c r="I142" s="216"/>
      <c r="J142" s="229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  <c r="AE142" s="216"/>
      <c r="AF142" s="216"/>
      <c r="AG142" s="216"/>
      <c r="AH142" s="216"/>
      <c r="AI142" s="216"/>
      <c r="AJ142" s="216"/>
      <c r="AK142" s="216"/>
      <c r="AL142" s="225"/>
      <c r="AM142" s="225"/>
      <c r="AN142" s="226"/>
      <c r="AO142" s="226"/>
      <c r="AP142" s="226"/>
      <c r="AQ142" s="226"/>
      <c r="AR142" s="226"/>
      <c r="AS142" s="226"/>
      <c r="AT142" s="226"/>
      <c r="AU142" s="226"/>
      <c r="AV142" s="226"/>
      <c r="AW142" s="226"/>
      <c r="AX142" s="226"/>
      <c r="AY142" s="226"/>
      <c r="AZ142" s="226"/>
      <c r="BA142" s="226"/>
      <c r="BB142" s="226"/>
      <c r="BC142" s="226"/>
      <c r="BD142" s="226"/>
      <c r="BE142" s="226"/>
      <c r="BF142" s="226"/>
      <c r="BG142" s="226"/>
      <c r="BH142" s="226"/>
      <c r="BI142" s="226"/>
      <c r="BJ142" s="226"/>
      <c r="BK142" s="226"/>
      <c r="BL142" s="226"/>
      <c r="BM142" s="227"/>
    </row>
    <row r="143" ht="15" spans="4:65">
      <c r="D143" s="215"/>
      <c r="E143" s="216"/>
      <c r="F143" s="216"/>
      <c r="G143" s="216"/>
      <c r="H143" s="217"/>
      <c r="I143" s="215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  <c r="AD143" s="216"/>
      <c r="AE143" s="216"/>
      <c r="AF143" s="216"/>
      <c r="AG143" s="216"/>
      <c r="AH143" s="216"/>
      <c r="AI143" s="216"/>
      <c r="AJ143" s="216"/>
      <c r="AK143" s="216"/>
      <c r="AL143" s="225"/>
      <c r="AM143" s="225"/>
      <c r="AN143" s="226"/>
      <c r="AO143" s="226"/>
      <c r="AP143" s="226"/>
      <c r="AQ143" s="226"/>
      <c r="AR143" s="226"/>
      <c r="AS143" s="226"/>
      <c r="AT143" s="226"/>
      <c r="AU143" s="226"/>
      <c r="AV143" s="226"/>
      <c r="AW143" s="226"/>
      <c r="AX143" s="226"/>
      <c r="AY143" s="226"/>
      <c r="AZ143" s="226"/>
      <c r="BA143" s="226"/>
      <c r="BB143" s="226"/>
      <c r="BC143" s="226"/>
      <c r="BD143" s="226"/>
      <c r="BE143" s="226"/>
      <c r="BF143" s="226"/>
      <c r="BG143" s="226"/>
      <c r="BH143" s="226"/>
      <c r="BI143" s="226"/>
      <c r="BJ143" s="226"/>
      <c r="BK143" s="226"/>
      <c r="BL143" s="226"/>
      <c r="BM143" s="227"/>
    </row>
    <row r="144" ht="15" spans="4:65">
      <c r="D144" s="215"/>
      <c r="E144" s="216"/>
      <c r="F144" s="216"/>
      <c r="G144" s="216"/>
      <c r="H144" s="217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  <c r="AD144" s="216"/>
      <c r="AE144" s="216"/>
      <c r="AF144" s="216"/>
      <c r="AG144" s="216"/>
      <c r="AH144" s="216"/>
      <c r="AI144" s="216"/>
      <c r="AJ144" s="216"/>
      <c r="AK144" s="216"/>
      <c r="AL144" s="225"/>
      <c r="AM144" s="225"/>
      <c r="AN144" s="226"/>
      <c r="AO144" s="226"/>
      <c r="AP144" s="226"/>
      <c r="AQ144" s="226"/>
      <c r="AR144" s="226"/>
      <c r="AS144" s="226"/>
      <c r="AT144" s="226"/>
      <c r="AU144" s="226"/>
      <c r="AV144" s="226"/>
      <c r="AW144" s="226"/>
      <c r="AX144" s="226"/>
      <c r="AY144" s="226"/>
      <c r="AZ144" s="226"/>
      <c r="BA144" s="226"/>
      <c r="BB144" s="226"/>
      <c r="BC144" s="226"/>
      <c r="BD144" s="226"/>
      <c r="BE144" s="226"/>
      <c r="BF144" s="226"/>
      <c r="BG144" s="226"/>
      <c r="BH144" s="226"/>
      <c r="BI144" s="226"/>
      <c r="BJ144" s="226"/>
      <c r="BK144" s="226"/>
      <c r="BL144" s="226"/>
      <c r="BM144" s="227"/>
    </row>
    <row r="145" ht="15" spans="4:65">
      <c r="D145" s="215"/>
      <c r="E145" s="216"/>
      <c r="F145" s="216"/>
      <c r="G145" s="216"/>
      <c r="H145" s="217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  <c r="AD145" s="216"/>
      <c r="AE145" s="216"/>
      <c r="AF145" s="216"/>
      <c r="AG145" s="216"/>
      <c r="AH145" s="216"/>
      <c r="AI145" s="216"/>
      <c r="AJ145" s="216"/>
      <c r="AK145" s="216"/>
      <c r="AL145" s="225"/>
      <c r="AM145" s="225"/>
      <c r="AN145" s="226"/>
      <c r="AO145" s="226"/>
      <c r="AP145" s="226"/>
      <c r="AQ145" s="226"/>
      <c r="AR145" s="226"/>
      <c r="AS145" s="226"/>
      <c r="AT145" s="226"/>
      <c r="AU145" s="226"/>
      <c r="AV145" s="226"/>
      <c r="AW145" s="226"/>
      <c r="AX145" s="226"/>
      <c r="AY145" s="226"/>
      <c r="AZ145" s="226"/>
      <c r="BA145" s="226"/>
      <c r="BB145" s="226"/>
      <c r="BC145" s="226"/>
      <c r="BD145" s="226"/>
      <c r="BE145" s="226"/>
      <c r="BF145" s="226"/>
      <c r="BG145" s="226"/>
      <c r="BH145" s="226"/>
      <c r="BI145" s="226"/>
      <c r="BJ145" s="226"/>
      <c r="BK145" s="226"/>
      <c r="BL145" s="226"/>
      <c r="BM145" s="227"/>
    </row>
    <row r="146" ht="15" spans="4:65">
      <c r="D146" s="215"/>
      <c r="E146" s="216"/>
      <c r="F146" s="216"/>
      <c r="G146" s="216"/>
      <c r="H146" s="217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  <c r="AD146" s="216"/>
      <c r="AE146" s="216"/>
      <c r="AF146" s="216"/>
      <c r="AG146" s="216"/>
      <c r="AH146" s="216"/>
      <c r="AI146" s="216"/>
      <c r="AJ146" s="216"/>
      <c r="AK146" s="216"/>
      <c r="AL146" s="225"/>
      <c r="AM146" s="225"/>
      <c r="AN146" s="226"/>
      <c r="AO146" s="226"/>
      <c r="AP146" s="226"/>
      <c r="AQ146" s="226"/>
      <c r="AR146" s="226"/>
      <c r="AS146" s="226"/>
      <c r="AT146" s="226"/>
      <c r="AU146" s="226"/>
      <c r="AV146" s="226"/>
      <c r="AW146" s="226"/>
      <c r="AX146" s="226"/>
      <c r="AY146" s="226"/>
      <c r="AZ146" s="226"/>
      <c r="BA146" s="226"/>
      <c r="BB146" s="226"/>
      <c r="BC146" s="226"/>
      <c r="BD146" s="226"/>
      <c r="BE146" s="226"/>
      <c r="BF146" s="226"/>
      <c r="BG146" s="226"/>
      <c r="BH146" s="226"/>
      <c r="BI146" s="226"/>
      <c r="BJ146" s="226"/>
      <c r="BK146" s="226"/>
      <c r="BL146" s="226"/>
      <c r="BM146" s="227"/>
    </row>
    <row r="147" ht="15" spans="4:65">
      <c r="D147" s="215"/>
      <c r="E147" s="216"/>
      <c r="F147" s="216"/>
      <c r="G147" s="216"/>
      <c r="H147" s="217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  <c r="AE147" s="216"/>
      <c r="AF147" s="216"/>
      <c r="AG147" s="216"/>
      <c r="AH147" s="216"/>
      <c r="AI147" s="216"/>
      <c r="AJ147" s="216"/>
      <c r="AK147" s="216"/>
      <c r="AL147" s="225"/>
      <c r="AM147" s="225"/>
      <c r="AN147" s="226"/>
      <c r="AO147" s="226"/>
      <c r="AP147" s="226"/>
      <c r="AQ147" s="226"/>
      <c r="AR147" s="226"/>
      <c r="AS147" s="226"/>
      <c r="AT147" s="226"/>
      <c r="AU147" s="226"/>
      <c r="AV147" s="226"/>
      <c r="AW147" s="226"/>
      <c r="AX147" s="226"/>
      <c r="AY147" s="226"/>
      <c r="AZ147" s="226"/>
      <c r="BA147" s="226"/>
      <c r="BB147" s="226"/>
      <c r="BC147" s="226"/>
      <c r="BD147" s="226"/>
      <c r="BE147" s="226"/>
      <c r="BF147" s="226"/>
      <c r="BG147" s="226"/>
      <c r="BH147" s="226"/>
      <c r="BI147" s="226"/>
      <c r="BJ147" s="226"/>
      <c r="BK147" s="226"/>
      <c r="BL147" s="226"/>
      <c r="BM147" s="227"/>
    </row>
    <row r="148" ht="15" spans="4:65">
      <c r="D148" s="215"/>
      <c r="E148" s="216"/>
      <c r="F148" s="216"/>
      <c r="G148" s="216"/>
      <c r="H148" s="217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  <c r="AE148" s="216"/>
      <c r="AF148" s="216"/>
      <c r="AG148" s="216"/>
      <c r="AH148" s="216"/>
      <c r="AI148" s="216"/>
      <c r="AJ148" s="216"/>
      <c r="AK148" s="216"/>
      <c r="AL148" s="225"/>
      <c r="AM148" s="225"/>
      <c r="AN148" s="226"/>
      <c r="AO148" s="226"/>
      <c r="AP148" s="226"/>
      <c r="AQ148" s="226"/>
      <c r="AR148" s="226"/>
      <c r="AS148" s="226"/>
      <c r="AT148" s="226"/>
      <c r="AU148" s="226"/>
      <c r="AV148" s="226"/>
      <c r="AW148" s="226"/>
      <c r="AX148" s="226"/>
      <c r="AY148" s="226"/>
      <c r="AZ148" s="226"/>
      <c r="BA148" s="226"/>
      <c r="BB148" s="226"/>
      <c r="BC148" s="226"/>
      <c r="BD148" s="226"/>
      <c r="BE148" s="226"/>
      <c r="BF148" s="226"/>
      <c r="BG148" s="226"/>
      <c r="BH148" s="226"/>
      <c r="BI148" s="226"/>
      <c r="BJ148" s="226"/>
      <c r="BK148" s="226"/>
      <c r="BL148" s="226"/>
      <c r="BM148" s="227"/>
    </row>
    <row r="149" ht="15" spans="4:65">
      <c r="D149" s="215"/>
      <c r="E149" s="216"/>
      <c r="F149" s="216"/>
      <c r="G149" s="216"/>
      <c r="H149" s="217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  <c r="AD149" s="216"/>
      <c r="AE149" s="216"/>
      <c r="AF149" s="216"/>
      <c r="AG149" s="216"/>
      <c r="AH149" s="216"/>
      <c r="AI149" s="216"/>
      <c r="AJ149" s="216"/>
      <c r="AK149" s="216"/>
      <c r="AL149" s="225"/>
      <c r="AM149" s="225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226"/>
      <c r="BK149" s="226"/>
      <c r="BL149" s="226"/>
      <c r="BM149" s="227"/>
    </row>
    <row r="150" ht="15" spans="4:65">
      <c r="D150" s="215"/>
      <c r="E150" s="216"/>
      <c r="F150" s="216"/>
      <c r="G150" s="216"/>
      <c r="H150" s="217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  <c r="AD150" s="216"/>
      <c r="AE150" s="216"/>
      <c r="AF150" s="216"/>
      <c r="AG150" s="216"/>
      <c r="AH150" s="216"/>
      <c r="AI150" s="216"/>
      <c r="AJ150" s="216"/>
      <c r="AK150" s="216"/>
      <c r="AL150" s="225"/>
      <c r="AM150" s="225"/>
      <c r="AN150" s="226"/>
      <c r="AO150" s="226"/>
      <c r="AP150" s="226"/>
      <c r="AQ150" s="226"/>
      <c r="AR150" s="226"/>
      <c r="AS150" s="226"/>
      <c r="AT150" s="226"/>
      <c r="AU150" s="226"/>
      <c r="AV150" s="226"/>
      <c r="AW150" s="226"/>
      <c r="AX150" s="226"/>
      <c r="AY150" s="226"/>
      <c r="AZ150" s="226"/>
      <c r="BA150" s="226"/>
      <c r="BB150" s="226"/>
      <c r="BC150" s="226"/>
      <c r="BD150" s="226"/>
      <c r="BE150" s="226"/>
      <c r="BF150" s="226"/>
      <c r="BG150" s="226"/>
      <c r="BH150" s="226"/>
      <c r="BI150" s="226"/>
      <c r="BJ150" s="226"/>
      <c r="BK150" s="226"/>
      <c r="BL150" s="226"/>
      <c r="BM150" s="227"/>
    </row>
    <row r="151" ht="15" spans="4:65">
      <c r="D151" s="215"/>
      <c r="E151" s="216"/>
      <c r="F151" s="216"/>
      <c r="G151" s="216"/>
      <c r="H151" s="217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  <c r="AD151" s="216"/>
      <c r="AE151" s="216"/>
      <c r="AF151" s="216"/>
      <c r="AG151" s="216"/>
      <c r="AH151" s="216"/>
      <c r="AI151" s="216"/>
      <c r="AJ151" s="216"/>
      <c r="AK151" s="216"/>
      <c r="AL151" s="225"/>
      <c r="AM151" s="225"/>
      <c r="AN151" s="226"/>
      <c r="AO151" s="226"/>
      <c r="AP151" s="226"/>
      <c r="AQ151" s="226"/>
      <c r="AR151" s="226"/>
      <c r="AS151" s="226"/>
      <c r="AT151" s="226"/>
      <c r="AU151" s="226"/>
      <c r="AV151" s="226"/>
      <c r="AW151" s="226"/>
      <c r="AX151" s="226"/>
      <c r="AY151" s="226"/>
      <c r="AZ151" s="226"/>
      <c r="BA151" s="226"/>
      <c r="BB151" s="226"/>
      <c r="BC151" s="226"/>
      <c r="BD151" s="226"/>
      <c r="BE151" s="226"/>
      <c r="BF151" s="226"/>
      <c r="BG151" s="226"/>
      <c r="BH151" s="226"/>
      <c r="BI151" s="226"/>
      <c r="BJ151" s="226"/>
      <c r="BK151" s="226"/>
      <c r="BL151" s="226"/>
      <c r="BM151" s="227"/>
    </row>
    <row r="152" ht="15" spans="4:65">
      <c r="D152" s="215"/>
      <c r="E152" s="216"/>
      <c r="F152" s="216"/>
      <c r="G152" s="216"/>
      <c r="H152" s="217"/>
      <c r="I152" s="216"/>
      <c r="J152" s="218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8"/>
      <c r="X152" s="216"/>
      <c r="Y152" s="216"/>
      <c r="Z152" s="216"/>
      <c r="AA152" s="216"/>
      <c r="AB152" s="216"/>
      <c r="AC152" s="216"/>
      <c r="AD152" s="216"/>
      <c r="AE152" s="216"/>
      <c r="AF152" s="216"/>
      <c r="AG152" s="216"/>
      <c r="AH152" s="216"/>
      <c r="AI152" s="216"/>
      <c r="AJ152" s="216"/>
      <c r="AK152" s="216"/>
      <c r="AL152" s="225"/>
      <c r="AM152" s="225"/>
      <c r="AN152" s="226"/>
      <c r="AO152" s="226"/>
      <c r="AP152" s="226"/>
      <c r="AQ152" s="226"/>
      <c r="AR152" s="226"/>
      <c r="AS152" s="226"/>
      <c r="AT152" s="226"/>
      <c r="AU152" s="226"/>
      <c r="AV152" s="226"/>
      <c r="AW152" s="226"/>
      <c r="AX152" s="226"/>
      <c r="AY152" s="226"/>
      <c r="AZ152" s="226"/>
      <c r="BA152" s="226"/>
      <c r="BB152" s="226"/>
      <c r="BC152" s="226"/>
      <c r="BD152" s="226"/>
      <c r="BE152" s="226"/>
      <c r="BF152" s="226"/>
      <c r="BG152" s="226"/>
      <c r="BH152" s="226"/>
      <c r="BI152" s="226"/>
      <c r="BJ152" s="226"/>
      <c r="BK152" s="226"/>
      <c r="BL152" s="226"/>
      <c r="BM152" s="227"/>
    </row>
    <row r="153" ht="15" spans="4:65">
      <c r="D153" s="215"/>
      <c r="E153" s="216"/>
      <c r="F153" s="216"/>
      <c r="G153" s="216"/>
      <c r="H153" s="217"/>
      <c r="I153" s="216"/>
      <c r="J153" s="218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8"/>
      <c r="X153" s="216"/>
      <c r="Y153" s="216"/>
      <c r="Z153" s="216"/>
      <c r="AA153" s="216"/>
      <c r="AB153" s="216"/>
      <c r="AC153" s="216"/>
      <c r="AD153" s="216"/>
      <c r="AE153" s="216"/>
      <c r="AF153" s="216"/>
      <c r="AG153" s="216"/>
      <c r="AH153" s="216"/>
      <c r="AI153" s="216"/>
      <c r="AJ153" s="216"/>
      <c r="AK153" s="216"/>
      <c r="AL153" s="225"/>
      <c r="AM153" s="225"/>
      <c r="AN153" s="226"/>
      <c r="AO153" s="226"/>
      <c r="AP153" s="226"/>
      <c r="AQ153" s="226"/>
      <c r="AR153" s="226"/>
      <c r="AS153" s="226"/>
      <c r="AT153" s="226"/>
      <c r="AU153" s="226"/>
      <c r="AV153" s="226"/>
      <c r="AW153" s="226"/>
      <c r="AX153" s="226"/>
      <c r="AY153" s="226"/>
      <c r="AZ153" s="226"/>
      <c r="BA153" s="226"/>
      <c r="BB153" s="226"/>
      <c r="BC153" s="226"/>
      <c r="BD153" s="226"/>
      <c r="BE153" s="226"/>
      <c r="BF153" s="226"/>
      <c r="BG153" s="226"/>
      <c r="BH153" s="226"/>
      <c r="BI153" s="226"/>
      <c r="BJ153" s="226"/>
      <c r="BK153" s="226"/>
      <c r="BL153" s="226"/>
      <c r="BM153" s="227"/>
    </row>
    <row r="154" ht="15" spans="4:65">
      <c r="D154" s="215"/>
      <c r="E154" s="216"/>
      <c r="F154" s="216"/>
      <c r="G154" s="216"/>
      <c r="H154" s="217"/>
      <c r="I154" s="216"/>
      <c r="J154" s="218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  <c r="AE154" s="216"/>
      <c r="AF154" s="216"/>
      <c r="AG154" s="216"/>
      <c r="AH154" s="216"/>
      <c r="AI154" s="216"/>
      <c r="AJ154" s="216"/>
      <c r="AK154" s="216"/>
      <c r="AL154" s="225"/>
      <c r="AM154" s="225"/>
      <c r="AN154" s="226"/>
      <c r="AO154" s="226"/>
      <c r="AP154" s="226"/>
      <c r="AQ154" s="226"/>
      <c r="AR154" s="226"/>
      <c r="AS154" s="226"/>
      <c r="AT154" s="226"/>
      <c r="AU154" s="226"/>
      <c r="AV154" s="226"/>
      <c r="AW154" s="226"/>
      <c r="AX154" s="226"/>
      <c r="AY154" s="226"/>
      <c r="AZ154" s="226"/>
      <c r="BA154" s="226"/>
      <c r="BB154" s="226"/>
      <c r="BC154" s="226"/>
      <c r="BD154" s="226"/>
      <c r="BE154" s="226"/>
      <c r="BF154" s="226"/>
      <c r="BG154" s="226"/>
      <c r="BH154" s="226"/>
      <c r="BI154" s="226"/>
      <c r="BJ154" s="226"/>
      <c r="BK154" s="226"/>
      <c r="BL154" s="226"/>
      <c r="BM154" s="227"/>
    </row>
    <row r="155" ht="15" spans="4:65">
      <c r="D155" s="215"/>
      <c r="E155" s="216"/>
      <c r="F155" s="216"/>
      <c r="G155" s="216"/>
      <c r="H155" s="217"/>
      <c r="I155" s="216"/>
      <c r="J155" s="218"/>
      <c r="K155" s="218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  <c r="AD155" s="216"/>
      <c r="AE155" s="216"/>
      <c r="AF155" s="216"/>
      <c r="AG155" s="216"/>
      <c r="AH155" s="216"/>
      <c r="AI155" s="216"/>
      <c r="AJ155" s="216"/>
      <c r="AK155" s="216"/>
      <c r="AL155" s="225"/>
      <c r="AM155" s="225"/>
      <c r="AN155" s="226"/>
      <c r="AO155" s="226"/>
      <c r="AP155" s="226"/>
      <c r="AQ155" s="226"/>
      <c r="AR155" s="226"/>
      <c r="AS155" s="226"/>
      <c r="AT155" s="226"/>
      <c r="AU155" s="226"/>
      <c r="AV155" s="226"/>
      <c r="AW155" s="226"/>
      <c r="AX155" s="226"/>
      <c r="AY155" s="226"/>
      <c r="AZ155" s="226"/>
      <c r="BA155" s="226"/>
      <c r="BB155" s="226"/>
      <c r="BC155" s="226"/>
      <c r="BD155" s="226"/>
      <c r="BE155" s="226"/>
      <c r="BF155" s="226"/>
      <c r="BG155" s="226"/>
      <c r="BH155" s="226"/>
      <c r="BI155" s="226"/>
      <c r="BJ155" s="226"/>
      <c r="BK155" s="226"/>
      <c r="BL155" s="226"/>
      <c r="BM155" s="227"/>
    </row>
    <row r="156" ht="15" spans="4:65">
      <c r="D156" s="215"/>
      <c r="E156" s="216"/>
      <c r="F156" s="216"/>
      <c r="G156" s="216"/>
      <c r="H156" s="217"/>
      <c r="I156" s="216"/>
      <c r="J156" s="218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  <c r="AH156" s="216"/>
      <c r="AI156" s="216"/>
      <c r="AJ156" s="216"/>
      <c r="AK156" s="216"/>
      <c r="AL156" s="225"/>
      <c r="AM156" s="225"/>
      <c r="AN156" s="226"/>
      <c r="AO156" s="226"/>
      <c r="AP156" s="226"/>
      <c r="AQ156" s="226"/>
      <c r="AR156" s="226"/>
      <c r="AS156" s="226"/>
      <c r="AT156" s="226"/>
      <c r="AU156" s="226"/>
      <c r="AV156" s="226"/>
      <c r="AW156" s="226"/>
      <c r="AX156" s="226"/>
      <c r="AY156" s="226"/>
      <c r="AZ156" s="226"/>
      <c r="BA156" s="226"/>
      <c r="BB156" s="226"/>
      <c r="BC156" s="226"/>
      <c r="BD156" s="226"/>
      <c r="BE156" s="226"/>
      <c r="BF156" s="226"/>
      <c r="BG156" s="226"/>
      <c r="BH156" s="226"/>
      <c r="BI156" s="226"/>
      <c r="BJ156" s="226"/>
      <c r="BK156" s="226"/>
      <c r="BL156" s="226"/>
      <c r="BM156" s="227"/>
    </row>
    <row r="157" ht="15" spans="4:65">
      <c r="D157" s="215"/>
      <c r="E157" s="216"/>
      <c r="F157" s="216"/>
      <c r="G157" s="216"/>
      <c r="H157" s="217"/>
      <c r="I157" s="216"/>
      <c r="J157" s="218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  <c r="AD157" s="216"/>
      <c r="AE157" s="216"/>
      <c r="AF157" s="216"/>
      <c r="AG157" s="216"/>
      <c r="AH157" s="216"/>
      <c r="AI157" s="216"/>
      <c r="AJ157" s="216"/>
      <c r="AK157" s="216"/>
      <c r="AL157" s="225"/>
      <c r="AM157" s="225"/>
      <c r="AN157" s="226"/>
      <c r="AO157" s="226"/>
      <c r="AP157" s="226"/>
      <c r="AQ157" s="226"/>
      <c r="AR157" s="226"/>
      <c r="AS157" s="226"/>
      <c r="AT157" s="226"/>
      <c r="AU157" s="226"/>
      <c r="AV157" s="226"/>
      <c r="AW157" s="226"/>
      <c r="AX157" s="226"/>
      <c r="AY157" s="226"/>
      <c r="AZ157" s="226"/>
      <c r="BA157" s="226"/>
      <c r="BB157" s="226"/>
      <c r="BC157" s="226"/>
      <c r="BD157" s="226"/>
      <c r="BE157" s="226"/>
      <c r="BF157" s="226"/>
      <c r="BG157" s="226"/>
      <c r="BH157" s="226"/>
      <c r="BI157" s="226"/>
      <c r="BJ157" s="226"/>
      <c r="BK157" s="226"/>
      <c r="BL157" s="226"/>
      <c r="BM157" s="227"/>
    </row>
    <row r="158" ht="15" spans="4:65">
      <c r="D158" s="215"/>
      <c r="E158" s="216"/>
      <c r="F158" s="216"/>
      <c r="G158" s="216"/>
      <c r="H158" s="217"/>
      <c r="I158" s="215"/>
      <c r="J158" s="218"/>
      <c r="K158" s="218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  <c r="AD158" s="216"/>
      <c r="AE158" s="216"/>
      <c r="AF158" s="216"/>
      <c r="AG158" s="216"/>
      <c r="AH158" s="216"/>
      <c r="AI158" s="216"/>
      <c r="AJ158" s="216"/>
      <c r="AK158" s="216"/>
      <c r="AL158" s="225"/>
      <c r="AM158" s="225"/>
      <c r="AN158" s="226"/>
      <c r="AO158" s="226"/>
      <c r="AP158" s="226"/>
      <c r="AQ158" s="226"/>
      <c r="AR158" s="226"/>
      <c r="AS158" s="226"/>
      <c r="AT158" s="226"/>
      <c r="AU158" s="226"/>
      <c r="AV158" s="226"/>
      <c r="AW158" s="226"/>
      <c r="AX158" s="226"/>
      <c r="AY158" s="226"/>
      <c r="AZ158" s="226"/>
      <c r="BA158" s="226"/>
      <c r="BB158" s="226"/>
      <c r="BC158" s="226"/>
      <c r="BD158" s="226"/>
      <c r="BE158" s="226"/>
      <c r="BF158" s="226"/>
      <c r="BG158" s="226"/>
      <c r="BH158" s="226"/>
      <c r="BI158" s="226"/>
      <c r="BJ158" s="226"/>
      <c r="BK158" s="226"/>
      <c r="BL158" s="226"/>
      <c r="BM158" s="227"/>
    </row>
    <row r="159" ht="15" spans="4:65">
      <c r="D159" s="215"/>
      <c r="E159" s="216"/>
      <c r="F159" s="216"/>
      <c r="G159" s="216"/>
      <c r="H159" s="217"/>
      <c r="I159" s="215"/>
      <c r="J159" s="218"/>
      <c r="K159" s="218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  <c r="AD159" s="216"/>
      <c r="AE159" s="216"/>
      <c r="AF159" s="216"/>
      <c r="AG159" s="216"/>
      <c r="AH159" s="216"/>
      <c r="AI159" s="216"/>
      <c r="AJ159" s="216"/>
      <c r="AK159" s="216"/>
      <c r="AL159" s="225"/>
      <c r="AM159" s="225"/>
      <c r="AN159" s="226"/>
      <c r="AO159" s="226"/>
      <c r="AP159" s="226"/>
      <c r="AQ159" s="226"/>
      <c r="AR159" s="226"/>
      <c r="AS159" s="226"/>
      <c r="AT159" s="226"/>
      <c r="AU159" s="226"/>
      <c r="AV159" s="226"/>
      <c r="AW159" s="226"/>
      <c r="AX159" s="226"/>
      <c r="AY159" s="226"/>
      <c r="AZ159" s="226"/>
      <c r="BA159" s="226"/>
      <c r="BB159" s="226"/>
      <c r="BC159" s="226"/>
      <c r="BD159" s="226"/>
      <c r="BE159" s="226"/>
      <c r="BF159" s="226"/>
      <c r="BG159" s="226"/>
      <c r="BH159" s="226"/>
      <c r="BI159" s="226"/>
      <c r="BJ159" s="226"/>
      <c r="BK159" s="226"/>
      <c r="BL159" s="226"/>
      <c r="BM159" s="227"/>
    </row>
    <row r="160" ht="15" spans="4:65">
      <c r="D160" s="215"/>
      <c r="E160" s="216"/>
      <c r="F160" s="216"/>
      <c r="G160" s="216"/>
      <c r="H160" s="217"/>
      <c r="I160" s="215"/>
      <c r="J160" s="218"/>
      <c r="K160" s="218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  <c r="AD160" s="216"/>
      <c r="AE160" s="216"/>
      <c r="AF160" s="216"/>
      <c r="AG160" s="216"/>
      <c r="AH160" s="216"/>
      <c r="AI160" s="216"/>
      <c r="AJ160" s="216"/>
      <c r="AK160" s="216"/>
      <c r="AL160" s="225"/>
      <c r="AM160" s="225"/>
      <c r="AN160" s="226"/>
      <c r="AO160" s="226"/>
      <c r="AP160" s="226"/>
      <c r="AQ160" s="226"/>
      <c r="AR160" s="226"/>
      <c r="AS160" s="226"/>
      <c r="AT160" s="226"/>
      <c r="AU160" s="226"/>
      <c r="AV160" s="226"/>
      <c r="AW160" s="226"/>
      <c r="AX160" s="226"/>
      <c r="AY160" s="226"/>
      <c r="AZ160" s="226"/>
      <c r="BA160" s="226"/>
      <c r="BB160" s="226"/>
      <c r="BC160" s="226"/>
      <c r="BD160" s="226"/>
      <c r="BE160" s="226"/>
      <c r="BF160" s="226"/>
      <c r="BG160" s="226"/>
      <c r="BH160" s="226"/>
      <c r="BI160" s="226"/>
      <c r="BJ160" s="226"/>
      <c r="BK160" s="226"/>
      <c r="BL160" s="226"/>
      <c r="BM160" s="227"/>
    </row>
    <row r="161" ht="15" spans="4:65">
      <c r="D161" s="215"/>
      <c r="E161" s="216"/>
      <c r="F161" s="216"/>
      <c r="G161" s="216"/>
      <c r="H161" s="217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6"/>
      <c r="AE161" s="216"/>
      <c r="AF161" s="216"/>
      <c r="AG161" s="216"/>
      <c r="AH161" s="216"/>
      <c r="AI161" s="216"/>
      <c r="AJ161" s="216"/>
      <c r="AK161" s="216"/>
      <c r="AL161" s="225"/>
      <c r="AM161" s="225"/>
      <c r="AN161" s="226"/>
      <c r="AO161" s="226"/>
      <c r="AP161" s="226"/>
      <c r="AQ161" s="226"/>
      <c r="AR161" s="226"/>
      <c r="AS161" s="226"/>
      <c r="AT161" s="226"/>
      <c r="AU161" s="226"/>
      <c r="AV161" s="226"/>
      <c r="AW161" s="226"/>
      <c r="AX161" s="226"/>
      <c r="AY161" s="226"/>
      <c r="AZ161" s="226"/>
      <c r="BA161" s="226"/>
      <c r="BB161" s="226"/>
      <c r="BC161" s="226"/>
      <c r="BD161" s="226"/>
      <c r="BE161" s="226"/>
      <c r="BF161" s="226"/>
      <c r="BG161" s="226"/>
      <c r="BH161" s="226"/>
      <c r="BI161" s="226"/>
      <c r="BJ161" s="226"/>
      <c r="BK161" s="226"/>
      <c r="BL161" s="226"/>
      <c r="BM161" s="227"/>
    </row>
    <row r="162" ht="15" spans="4:65">
      <c r="D162" s="215"/>
      <c r="E162" s="216"/>
      <c r="F162" s="216"/>
      <c r="G162" s="216"/>
      <c r="H162" s="217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  <c r="AE162" s="216"/>
      <c r="AF162" s="216"/>
      <c r="AG162" s="216"/>
      <c r="AH162" s="216"/>
      <c r="AI162" s="216"/>
      <c r="AJ162" s="216"/>
      <c r="AK162" s="216"/>
      <c r="AL162" s="225"/>
      <c r="AM162" s="225"/>
      <c r="AN162" s="226"/>
      <c r="AO162" s="226"/>
      <c r="AP162" s="226"/>
      <c r="AQ162" s="226"/>
      <c r="AR162" s="226"/>
      <c r="AS162" s="226"/>
      <c r="AT162" s="226"/>
      <c r="AU162" s="226"/>
      <c r="AV162" s="226"/>
      <c r="AW162" s="226"/>
      <c r="AX162" s="226"/>
      <c r="AY162" s="226"/>
      <c r="AZ162" s="226"/>
      <c r="BA162" s="226"/>
      <c r="BB162" s="226"/>
      <c r="BC162" s="226"/>
      <c r="BD162" s="226"/>
      <c r="BE162" s="226"/>
      <c r="BF162" s="226"/>
      <c r="BG162" s="226"/>
      <c r="BH162" s="226"/>
      <c r="BI162" s="226"/>
      <c r="BJ162" s="226"/>
      <c r="BK162" s="226"/>
      <c r="BL162" s="226"/>
      <c r="BM162" s="227"/>
    </row>
    <row r="163" ht="15" spans="4:65">
      <c r="D163" s="215"/>
      <c r="E163" s="216"/>
      <c r="F163" s="216"/>
      <c r="G163" s="216"/>
      <c r="H163" s="217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  <c r="AD163" s="216"/>
      <c r="AE163" s="216"/>
      <c r="AF163" s="216"/>
      <c r="AG163" s="216"/>
      <c r="AH163" s="216"/>
      <c r="AI163" s="216"/>
      <c r="AJ163" s="216"/>
      <c r="AK163" s="216"/>
      <c r="AL163" s="225"/>
      <c r="AM163" s="225"/>
      <c r="AN163" s="226"/>
      <c r="AO163" s="226"/>
      <c r="AP163" s="226"/>
      <c r="AQ163" s="226"/>
      <c r="AR163" s="226"/>
      <c r="AS163" s="226"/>
      <c r="AT163" s="226"/>
      <c r="AU163" s="226"/>
      <c r="AV163" s="226"/>
      <c r="AW163" s="226"/>
      <c r="AX163" s="226"/>
      <c r="AY163" s="226"/>
      <c r="AZ163" s="226"/>
      <c r="BA163" s="226"/>
      <c r="BB163" s="226"/>
      <c r="BC163" s="226"/>
      <c r="BD163" s="226"/>
      <c r="BE163" s="226"/>
      <c r="BF163" s="226"/>
      <c r="BG163" s="226"/>
      <c r="BH163" s="226"/>
      <c r="BI163" s="226"/>
      <c r="BJ163" s="226"/>
      <c r="BK163" s="226"/>
      <c r="BL163" s="226"/>
      <c r="BM163" s="227"/>
    </row>
    <row r="164" ht="15" spans="4:65">
      <c r="D164" s="215"/>
      <c r="E164" s="216"/>
      <c r="F164" s="216"/>
      <c r="G164" s="216"/>
      <c r="H164" s="217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  <c r="AD164" s="216"/>
      <c r="AE164" s="216"/>
      <c r="AF164" s="216"/>
      <c r="AG164" s="216"/>
      <c r="AH164" s="216"/>
      <c r="AI164" s="216"/>
      <c r="AJ164" s="216"/>
      <c r="AK164" s="216"/>
      <c r="AL164" s="228"/>
      <c r="AM164" s="228"/>
      <c r="AN164" s="226"/>
      <c r="AO164" s="226"/>
      <c r="AP164" s="226"/>
      <c r="AQ164" s="226"/>
      <c r="AR164" s="226"/>
      <c r="AS164" s="226"/>
      <c r="AT164" s="226"/>
      <c r="AU164" s="226"/>
      <c r="AV164" s="226"/>
      <c r="AW164" s="226"/>
      <c r="AX164" s="226"/>
      <c r="AY164" s="226"/>
      <c r="AZ164" s="226"/>
      <c r="BA164" s="226"/>
      <c r="BB164" s="226"/>
      <c r="BC164" s="226"/>
      <c r="BD164" s="226"/>
      <c r="BE164" s="226"/>
      <c r="BF164" s="226"/>
      <c r="BG164" s="226"/>
      <c r="BH164" s="226"/>
      <c r="BI164" s="226"/>
      <c r="BJ164" s="226"/>
      <c r="BK164" s="226"/>
      <c r="BL164" s="226"/>
      <c r="BM164" s="227"/>
    </row>
    <row r="165" ht="15" spans="4:65">
      <c r="D165" s="215"/>
      <c r="E165" s="216"/>
      <c r="F165" s="216"/>
      <c r="G165" s="216"/>
      <c r="H165" s="217"/>
      <c r="I165" s="216"/>
      <c r="J165" s="216"/>
      <c r="K165" s="218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  <c r="AD165" s="216"/>
      <c r="AE165" s="216"/>
      <c r="AF165" s="216"/>
      <c r="AG165" s="216"/>
      <c r="AH165" s="216"/>
      <c r="AI165" s="216"/>
      <c r="AJ165" s="216"/>
      <c r="AK165" s="216"/>
      <c r="AL165" s="225"/>
      <c r="AM165" s="225"/>
      <c r="AN165" s="226"/>
      <c r="AO165" s="226"/>
      <c r="AP165" s="226"/>
      <c r="AQ165" s="226"/>
      <c r="AR165" s="226"/>
      <c r="AS165" s="226"/>
      <c r="AT165" s="226"/>
      <c r="AU165" s="226"/>
      <c r="AV165" s="226"/>
      <c r="AW165" s="226"/>
      <c r="AX165" s="226"/>
      <c r="AY165" s="226"/>
      <c r="AZ165" s="226"/>
      <c r="BA165" s="226"/>
      <c r="BB165" s="226"/>
      <c r="BC165" s="226"/>
      <c r="BD165" s="226"/>
      <c r="BE165" s="226"/>
      <c r="BF165" s="226"/>
      <c r="BG165" s="226"/>
      <c r="BH165" s="226"/>
      <c r="BI165" s="226"/>
      <c r="BJ165" s="226"/>
      <c r="BK165" s="226"/>
      <c r="BL165" s="226"/>
      <c r="BM165" s="227"/>
    </row>
    <row r="166" ht="15" spans="4:65">
      <c r="D166" s="215"/>
      <c r="E166" s="216"/>
      <c r="F166" s="216"/>
      <c r="G166" s="216"/>
      <c r="H166" s="217"/>
      <c r="I166" s="216"/>
      <c r="J166" s="216"/>
      <c r="K166" s="218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  <c r="AD166" s="216"/>
      <c r="AE166" s="216"/>
      <c r="AF166" s="216"/>
      <c r="AG166" s="216"/>
      <c r="AH166" s="216"/>
      <c r="AI166" s="216"/>
      <c r="AJ166" s="216"/>
      <c r="AK166" s="216"/>
      <c r="AL166" s="225"/>
      <c r="AM166" s="225"/>
      <c r="AN166" s="226"/>
      <c r="AO166" s="226"/>
      <c r="AP166" s="226"/>
      <c r="AQ166" s="226"/>
      <c r="AR166" s="226"/>
      <c r="AS166" s="226"/>
      <c r="AT166" s="226"/>
      <c r="AU166" s="226"/>
      <c r="AV166" s="226"/>
      <c r="AW166" s="226"/>
      <c r="AX166" s="226"/>
      <c r="AY166" s="226"/>
      <c r="AZ166" s="226"/>
      <c r="BA166" s="226"/>
      <c r="BB166" s="226"/>
      <c r="BC166" s="226"/>
      <c r="BD166" s="226"/>
      <c r="BE166" s="226"/>
      <c r="BF166" s="226"/>
      <c r="BG166" s="226"/>
      <c r="BH166" s="226"/>
      <c r="BI166" s="226"/>
      <c r="BJ166" s="226"/>
      <c r="BK166" s="226"/>
      <c r="BL166" s="226"/>
      <c r="BM166" s="227"/>
    </row>
    <row r="167" ht="15" spans="4:65">
      <c r="D167" s="215"/>
      <c r="E167" s="216"/>
      <c r="F167" s="216"/>
      <c r="G167" s="216"/>
      <c r="H167" s="217"/>
      <c r="I167" s="216"/>
      <c r="J167" s="216"/>
      <c r="K167" s="218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  <c r="AD167" s="216"/>
      <c r="AE167" s="216"/>
      <c r="AF167" s="216"/>
      <c r="AG167" s="216"/>
      <c r="AH167" s="216"/>
      <c r="AI167" s="216"/>
      <c r="AJ167" s="216"/>
      <c r="AK167" s="216"/>
      <c r="AL167" s="225"/>
      <c r="AM167" s="225"/>
      <c r="AN167" s="226"/>
      <c r="AO167" s="226"/>
      <c r="AP167" s="226"/>
      <c r="AQ167" s="226"/>
      <c r="AR167" s="226"/>
      <c r="AS167" s="226"/>
      <c r="AT167" s="226"/>
      <c r="AU167" s="226"/>
      <c r="AV167" s="226"/>
      <c r="AW167" s="226"/>
      <c r="AX167" s="226"/>
      <c r="AY167" s="226"/>
      <c r="AZ167" s="226"/>
      <c r="BA167" s="226"/>
      <c r="BB167" s="226"/>
      <c r="BC167" s="226"/>
      <c r="BD167" s="226"/>
      <c r="BE167" s="226"/>
      <c r="BF167" s="226"/>
      <c r="BG167" s="226"/>
      <c r="BH167" s="226"/>
      <c r="BI167" s="226"/>
      <c r="BJ167" s="226"/>
      <c r="BK167" s="226"/>
      <c r="BL167" s="226"/>
      <c r="BM167" s="227"/>
    </row>
    <row r="168" ht="15" spans="4:65">
      <c r="D168" s="215"/>
      <c r="E168" s="216"/>
      <c r="F168" s="216"/>
      <c r="G168" s="216"/>
      <c r="H168" s="217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  <c r="AD168" s="216"/>
      <c r="AE168" s="216"/>
      <c r="AF168" s="216"/>
      <c r="AG168" s="216"/>
      <c r="AH168" s="216"/>
      <c r="AI168" s="216"/>
      <c r="AJ168" s="216"/>
      <c r="AK168" s="216"/>
      <c r="AL168" s="225"/>
      <c r="AM168" s="225"/>
      <c r="AN168" s="226"/>
      <c r="AO168" s="226"/>
      <c r="AP168" s="226"/>
      <c r="AQ168" s="226"/>
      <c r="AR168" s="226"/>
      <c r="AS168" s="226"/>
      <c r="AT168" s="226"/>
      <c r="AU168" s="226"/>
      <c r="AV168" s="226"/>
      <c r="AW168" s="226"/>
      <c r="AX168" s="226"/>
      <c r="AY168" s="226"/>
      <c r="AZ168" s="226"/>
      <c r="BA168" s="226"/>
      <c r="BB168" s="226"/>
      <c r="BC168" s="226"/>
      <c r="BD168" s="226"/>
      <c r="BE168" s="226"/>
      <c r="BF168" s="226"/>
      <c r="BG168" s="226"/>
      <c r="BH168" s="226"/>
      <c r="BI168" s="226"/>
      <c r="BJ168" s="226"/>
      <c r="BK168" s="226"/>
      <c r="BL168" s="226"/>
      <c r="BM168" s="227"/>
    </row>
    <row r="169" ht="15" spans="4:65">
      <c r="D169" s="215"/>
      <c r="E169" s="216"/>
      <c r="F169" s="216"/>
      <c r="G169" s="216"/>
      <c r="H169" s="217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  <c r="AD169" s="216"/>
      <c r="AE169" s="216"/>
      <c r="AF169" s="216"/>
      <c r="AG169" s="216"/>
      <c r="AH169" s="216"/>
      <c r="AI169" s="216"/>
      <c r="AJ169" s="216"/>
      <c r="AK169" s="216"/>
      <c r="AL169" s="225"/>
      <c r="AM169" s="225"/>
      <c r="AN169" s="226"/>
      <c r="AO169" s="226"/>
      <c r="AP169" s="226"/>
      <c r="AQ169" s="226"/>
      <c r="AR169" s="226"/>
      <c r="AS169" s="226"/>
      <c r="AT169" s="226"/>
      <c r="AU169" s="226"/>
      <c r="AV169" s="226"/>
      <c r="AW169" s="226"/>
      <c r="AX169" s="226"/>
      <c r="AY169" s="226"/>
      <c r="AZ169" s="226"/>
      <c r="BA169" s="226"/>
      <c r="BB169" s="226"/>
      <c r="BC169" s="226"/>
      <c r="BD169" s="226"/>
      <c r="BE169" s="226"/>
      <c r="BF169" s="226"/>
      <c r="BG169" s="226"/>
      <c r="BH169" s="226"/>
      <c r="BI169" s="226"/>
      <c r="BJ169" s="226"/>
      <c r="BK169" s="226"/>
      <c r="BL169" s="226"/>
      <c r="BM169" s="227"/>
    </row>
    <row r="170" ht="15" spans="4:65">
      <c r="D170" s="215"/>
      <c r="E170" s="216"/>
      <c r="F170" s="216"/>
      <c r="G170" s="216"/>
      <c r="H170" s="217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  <c r="AD170" s="216"/>
      <c r="AE170" s="216"/>
      <c r="AF170" s="216"/>
      <c r="AG170" s="216"/>
      <c r="AH170" s="216"/>
      <c r="AI170" s="216"/>
      <c r="AJ170" s="216"/>
      <c r="AK170" s="216"/>
      <c r="AL170" s="225"/>
      <c r="AM170" s="225"/>
      <c r="AN170" s="226"/>
      <c r="AO170" s="226"/>
      <c r="AP170" s="226"/>
      <c r="AQ170" s="226"/>
      <c r="AR170" s="226"/>
      <c r="AS170" s="226"/>
      <c r="AT170" s="226"/>
      <c r="AU170" s="226"/>
      <c r="AV170" s="226"/>
      <c r="AW170" s="226"/>
      <c r="AX170" s="226"/>
      <c r="AY170" s="226"/>
      <c r="AZ170" s="226"/>
      <c r="BA170" s="226"/>
      <c r="BB170" s="226"/>
      <c r="BC170" s="226"/>
      <c r="BD170" s="226"/>
      <c r="BE170" s="226"/>
      <c r="BF170" s="226"/>
      <c r="BG170" s="226"/>
      <c r="BH170" s="226"/>
      <c r="BI170" s="226"/>
      <c r="BJ170" s="226"/>
      <c r="BK170" s="226"/>
      <c r="BL170" s="226"/>
      <c r="BM170" s="227"/>
    </row>
    <row r="171" ht="15" spans="4:65">
      <c r="D171" s="215"/>
      <c r="E171" s="216"/>
      <c r="F171" s="216"/>
      <c r="G171" s="216"/>
      <c r="H171" s="217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  <c r="AD171" s="216"/>
      <c r="AE171" s="216"/>
      <c r="AF171" s="216"/>
      <c r="AG171" s="216"/>
      <c r="AH171" s="216"/>
      <c r="AI171" s="216"/>
      <c r="AJ171" s="216"/>
      <c r="AK171" s="216"/>
      <c r="AL171" s="225"/>
      <c r="AM171" s="225"/>
      <c r="AN171" s="226"/>
      <c r="AO171" s="226"/>
      <c r="AP171" s="226"/>
      <c r="AQ171" s="226"/>
      <c r="AR171" s="226"/>
      <c r="AS171" s="226"/>
      <c r="AT171" s="226"/>
      <c r="AU171" s="226"/>
      <c r="AV171" s="226"/>
      <c r="AW171" s="226"/>
      <c r="AX171" s="226"/>
      <c r="AY171" s="226"/>
      <c r="AZ171" s="226"/>
      <c r="BA171" s="226"/>
      <c r="BB171" s="226"/>
      <c r="BC171" s="226"/>
      <c r="BD171" s="226"/>
      <c r="BE171" s="226"/>
      <c r="BF171" s="226"/>
      <c r="BG171" s="226"/>
      <c r="BH171" s="226"/>
      <c r="BI171" s="226"/>
      <c r="BJ171" s="226"/>
      <c r="BK171" s="226"/>
      <c r="BL171" s="226"/>
      <c r="BM171" s="227"/>
    </row>
    <row r="172" ht="15" spans="4:65">
      <c r="D172" s="215"/>
      <c r="E172" s="216"/>
      <c r="F172" s="216"/>
      <c r="G172" s="216"/>
      <c r="H172" s="217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  <c r="AD172" s="216"/>
      <c r="AE172" s="216"/>
      <c r="AF172" s="216"/>
      <c r="AG172" s="216"/>
      <c r="AH172" s="216"/>
      <c r="AI172" s="216"/>
      <c r="AJ172" s="216"/>
      <c r="AK172" s="216"/>
      <c r="AL172" s="225"/>
      <c r="AM172" s="225"/>
      <c r="AN172" s="226"/>
      <c r="AO172" s="226"/>
      <c r="AP172" s="226"/>
      <c r="AQ172" s="226"/>
      <c r="AR172" s="226"/>
      <c r="AS172" s="226"/>
      <c r="AT172" s="226"/>
      <c r="AU172" s="226"/>
      <c r="AV172" s="226"/>
      <c r="AW172" s="226"/>
      <c r="AX172" s="226"/>
      <c r="AY172" s="226"/>
      <c r="AZ172" s="226"/>
      <c r="BA172" s="226"/>
      <c r="BB172" s="226"/>
      <c r="BC172" s="226"/>
      <c r="BD172" s="226"/>
      <c r="BE172" s="226"/>
      <c r="BF172" s="226"/>
      <c r="BG172" s="226"/>
      <c r="BH172" s="226"/>
      <c r="BI172" s="226"/>
      <c r="BJ172" s="226"/>
      <c r="BK172" s="226"/>
      <c r="BL172" s="226"/>
      <c r="BM172" s="227"/>
    </row>
    <row r="173" ht="15" spans="4:65">
      <c r="D173" s="215"/>
      <c r="E173" s="216"/>
      <c r="F173" s="216"/>
      <c r="G173" s="216"/>
      <c r="H173" s="217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  <c r="AD173" s="216"/>
      <c r="AE173" s="216"/>
      <c r="AF173" s="216"/>
      <c r="AG173" s="216"/>
      <c r="AH173" s="216"/>
      <c r="AI173" s="216"/>
      <c r="AJ173" s="216"/>
      <c r="AK173" s="216"/>
      <c r="AL173" s="225"/>
      <c r="AM173" s="225"/>
      <c r="AN173" s="226"/>
      <c r="AO173" s="226"/>
      <c r="AP173" s="226"/>
      <c r="AQ173" s="226"/>
      <c r="AR173" s="226"/>
      <c r="AS173" s="226"/>
      <c r="AT173" s="226"/>
      <c r="AU173" s="226"/>
      <c r="AV173" s="226"/>
      <c r="AW173" s="226"/>
      <c r="AX173" s="226"/>
      <c r="AY173" s="226"/>
      <c r="AZ173" s="226"/>
      <c r="BA173" s="226"/>
      <c r="BB173" s="226"/>
      <c r="BC173" s="226"/>
      <c r="BD173" s="226"/>
      <c r="BE173" s="226"/>
      <c r="BF173" s="226"/>
      <c r="BG173" s="226"/>
      <c r="BH173" s="226"/>
      <c r="BI173" s="226"/>
      <c r="BJ173" s="226"/>
      <c r="BK173" s="226"/>
      <c r="BL173" s="226"/>
      <c r="BM173" s="227"/>
    </row>
    <row r="174" ht="15" spans="4:65">
      <c r="D174" s="215"/>
      <c r="E174" s="216"/>
      <c r="F174" s="216"/>
      <c r="G174" s="216"/>
      <c r="H174" s="217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  <c r="AE174" s="216"/>
      <c r="AF174" s="216"/>
      <c r="AG174" s="216"/>
      <c r="AH174" s="216"/>
      <c r="AI174" s="216"/>
      <c r="AJ174" s="216"/>
      <c r="AK174" s="216"/>
      <c r="AL174" s="225"/>
      <c r="AM174" s="225"/>
      <c r="AN174" s="226"/>
      <c r="AO174" s="226"/>
      <c r="AP174" s="226"/>
      <c r="AQ174" s="226"/>
      <c r="AR174" s="226"/>
      <c r="AS174" s="226"/>
      <c r="AT174" s="226"/>
      <c r="AU174" s="226"/>
      <c r="AV174" s="226"/>
      <c r="AW174" s="226"/>
      <c r="AX174" s="226"/>
      <c r="AY174" s="226"/>
      <c r="AZ174" s="226"/>
      <c r="BA174" s="226"/>
      <c r="BB174" s="226"/>
      <c r="BC174" s="226"/>
      <c r="BD174" s="226"/>
      <c r="BE174" s="226"/>
      <c r="BF174" s="226"/>
      <c r="BG174" s="226"/>
      <c r="BH174" s="226"/>
      <c r="BI174" s="226"/>
      <c r="BJ174" s="226"/>
      <c r="BK174" s="226"/>
      <c r="BL174" s="226"/>
      <c r="BM174" s="227"/>
    </row>
    <row r="175" ht="15" spans="4:65">
      <c r="D175" s="215"/>
      <c r="E175" s="216"/>
      <c r="F175" s="216"/>
      <c r="G175" s="216"/>
      <c r="H175" s="217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  <c r="AE175" s="216"/>
      <c r="AF175" s="216"/>
      <c r="AG175" s="216"/>
      <c r="AH175" s="216"/>
      <c r="AI175" s="216"/>
      <c r="AJ175" s="216"/>
      <c r="AK175" s="216"/>
      <c r="AL175" s="225"/>
      <c r="AM175" s="225"/>
      <c r="AN175" s="226"/>
      <c r="AO175" s="226"/>
      <c r="AP175" s="226"/>
      <c r="AQ175" s="226"/>
      <c r="AR175" s="226"/>
      <c r="AS175" s="226"/>
      <c r="AT175" s="226"/>
      <c r="AU175" s="226"/>
      <c r="AV175" s="226"/>
      <c r="AW175" s="226"/>
      <c r="AX175" s="226"/>
      <c r="AY175" s="226"/>
      <c r="AZ175" s="226"/>
      <c r="BA175" s="226"/>
      <c r="BB175" s="226"/>
      <c r="BC175" s="226"/>
      <c r="BD175" s="226"/>
      <c r="BE175" s="226"/>
      <c r="BF175" s="226"/>
      <c r="BG175" s="226"/>
      <c r="BH175" s="226"/>
      <c r="BI175" s="226"/>
      <c r="BJ175" s="226"/>
      <c r="BK175" s="226"/>
      <c r="BL175" s="226"/>
      <c r="BM175" s="227"/>
    </row>
    <row r="176" ht="15" spans="4:65">
      <c r="D176" s="215"/>
      <c r="E176" s="216"/>
      <c r="F176" s="216"/>
      <c r="G176" s="216"/>
      <c r="H176" s="217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  <c r="AD176" s="216"/>
      <c r="AE176" s="216"/>
      <c r="AF176" s="216"/>
      <c r="AG176" s="216"/>
      <c r="AH176" s="216"/>
      <c r="AI176" s="216"/>
      <c r="AJ176" s="216"/>
      <c r="AK176" s="216"/>
      <c r="AL176" s="225"/>
      <c r="AM176" s="225"/>
      <c r="AN176" s="226"/>
      <c r="AO176" s="226"/>
      <c r="AP176" s="226"/>
      <c r="AQ176" s="226"/>
      <c r="AR176" s="226"/>
      <c r="AS176" s="226"/>
      <c r="AT176" s="226"/>
      <c r="AU176" s="226"/>
      <c r="AV176" s="226"/>
      <c r="AW176" s="226"/>
      <c r="AX176" s="226"/>
      <c r="AY176" s="226"/>
      <c r="AZ176" s="226"/>
      <c r="BA176" s="226"/>
      <c r="BB176" s="226"/>
      <c r="BC176" s="226"/>
      <c r="BD176" s="226"/>
      <c r="BE176" s="226"/>
      <c r="BF176" s="226"/>
      <c r="BG176" s="226"/>
      <c r="BH176" s="226"/>
      <c r="BI176" s="226"/>
      <c r="BJ176" s="226"/>
      <c r="BK176" s="226"/>
      <c r="BL176" s="226"/>
      <c r="BM176" s="227"/>
    </row>
    <row r="177" ht="15" spans="4:65">
      <c r="D177" s="215"/>
      <c r="E177" s="216"/>
      <c r="F177" s="216"/>
      <c r="G177" s="216"/>
      <c r="H177" s="217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  <c r="AD177" s="216"/>
      <c r="AE177" s="216"/>
      <c r="AF177" s="216"/>
      <c r="AG177" s="216"/>
      <c r="AH177" s="216"/>
      <c r="AI177" s="216"/>
      <c r="AJ177" s="216"/>
      <c r="AK177" s="216"/>
      <c r="AL177" s="225"/>
      <c r="AM177" s="225"/>
      <c r="AN177" s="226"/>
      <c r="AO177" s="226"/>
      <c r="AP177" s="226"/>
      <c r="AQ177" s="226"/>
      <c r="AR177" s="226"/>
      <c r="AS177" s="226"/>
      <c r="AT177" s="226"/>
      <c r="AU177" s="226"/>
      <c r="AV177" s="226"/>
      <c r="AW177" s="226"/>
      <c r="AX177" s="226"/>
      <c r="AY177" s="226"/>
      <c r="AZ177" s="226"/>
      <c r="BA177" s="226"/>
      <c r="BB177" s="226"/>
      <c r="BC177" s="226"/>
      <c r="BD177" s="226"/>
      <c r="BE177" s="226"/>
      <c r="BF177" s="226"/>
      <c r="BG177" s="226"/>
      <c r="BH177" s="226"/>
      <c r="BI177" s="226"/>
      <c r="BJ177" s="226"/>
      <c r="BK177" s="226"/>
      <c r="BL177" s="226"/>
      <c r="BM177" s="227"/>
    </row>
    <row r="178" ht="15" spans="4:65">
      <c r="D178" s="215"/>
      <c r="E178" s="216"/>
      <c r="F178" s="216"/>
      <c r="G178" s="216"/>
      <c r="H178" s="217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  <c r="AE178" s="216"/>
      <c r="AF178" s="216"/>
      <c r="AG178" s="216"/>
      <c r="AH178" s="216"/>
      <c r="AI178" s="216"/>
      <c r="AJ178" s="216"/>
      <c r="AK178" s="216"/>
      <c r="AL178" s="225"/>
      <c r="AM178" s="225"/>
      <c r="AN178" s="226"/>
      <c r="AO178" s="226"/>
      <c r="AP178" s="226"/>
      <c r="AQ178" s="226"/>
      <c r="AR178" s="226"/>
      <c r="AS178" s="226"/>
      <c r="AT178" s="226"/>
      <c r="AU178" s="226"/>
      <c r="AV178" s="226"/>
      <c r="AW178" s="226"/>
      <c r="AX178" s="226"/>
      <c r="AY178" s="226"/>
      <c r="AZ178" s="226"/>
      <c r="BA178" s="226"/>
      <c r="BB178" s="226"/>
      <c r="BC178" s="226"/>
      <c r="BD178" s="226"/>
      <c r="BE178" s="226"/>
      <c r="BF178" s="226"/>
      <c r="BG178" s="226"/>
      <c r="BH178" s="226"/>
      <c r="BI178" s="226"/>
      <c r="BJ178" s="226"/>
      <c r="BK178" s="226"/>
      <c r="BL178" s="226"/>
      <c r="BM178" s="227"/>
    </row>
    <row r="179" ht="15" spans="4:65">
      <c r="D179" s="215"/>
      <c r="E179" s="216"/>
      <c r="F179" s="216"/>
      <c r="G179" s="216"/>
      <c r="H179" s="217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  <c r="AD179" s="216"/>
      <c r="AE179" s="216"/>
      <c r="AF179" s="216"/>
      <c r="AG179" s="216"/>
      <c r="AH179" s="216"/>
      <c r="AI179" s="216"/>
      <c r="AJ179" s="216"/>
      <c r="AK179" s="216"/>
      <c r="AL179" s="225"/>
      <c r="AM179" s="225"/>
      <c r="AN179" s="226"/>
      <c r="AO179" s="226"/>
      <c r="AP179" s="226"/>
      <c r="AQ179" s="226"/>
      <c r="AR179" s="226"/>
      <c r="AS179" s="226"/>
      <c r="AT179" s="226"/>
      <c r="AU179" s="226"/>
      <c r="AV179" s="226"/>
      <c r="AW179" s="226"/>
      <c r="AX179" s="226"/>
      <c r="AY179" s="226"/>
      <c r="AZ179" s="226"/>
      <c r="BA179" s="226"/>
      <c r="BB179" s="226"/>
      <c r="BC179" s="226"/>
      <c r="BD179" s="226"/>
      <c r="BE179" s="226"/>
      <c r="BF179" s="226"/>
      <c r="BG179" s="226"/>
      <c r="BH179" s="226"/>
      <c r="BI179" s="226"/>
      <c r="BJ179" s="226"/>
      <c r="BK179" s="226"/>
      <c r="BL179" s="226"/>
      <c r="BM179" s="227"/>
    </row>
    <row r="180" ht="15" spans="4:65">
      <c r="D180" s="215"/>
      <c r="E180" s="216"/>
      <c r="F180" s="216"/>
      <c r="G180" s="216"/>
      <c r="H180" s="217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  <c r="AD180" s="216"/>
      <c r="AE180" s="216"/>
      <c r="AF180" s="216"/>
      <c r="AG180" s="216"/>
      <c r="AH180" s="216"/>
      <c r="AI180" s="216"/>
      <c r="AJ180" s="216"/>
      <c r="AK180" s="216"/>
      <c r="AL180" s="225"/>
      <c r="AM180" s="225"/>
      <c r="AN180" s="226"/>
      <c r="AO180" s="226"/>
      <c r="AP180" s="226"/>
      <c r="AQ180" s="226"/>
      <c r="AR180" s="226"/>
      <c r="AS180" s="226"/>
      <c r="AT180" s="226"/>
      <c r="AU180" s="226"/>
      <c r="AV180" s="226"/>
      <c r="AW180" s="226"/>
      <c r="AX180" s="226"/>
      <c r="AY180" s="226"/>
      <c r="AZ180" s="226"/>
      <c r="BA180" s="226"/>
      <c r="BB180" s="226"/>
      <c r="BC180" s="226"/>
      <c r="BD180" s="226"/>
      <c r="BE180" s="226"/>
      <c r="BF180" s="226"/>
      <c r="BG180" s="226"/>
      <c r="BH180" s="226"/>
      <c r="BI180" s="226"/>
      <c r="BJ180" s="226"/>
      <c r="BK180" s="226"/>
      <c r="BL180" s="226"/>
      <c r="BM180" s="227"/>
    </row>
    <row r="181" ht="15" spans="4:65">
      <c r="D181" s="215"/>
      <c r="E181" s="216"/>
      <c r="F181" s="216"/>
      <c r="G181" s="216"/>
      <c r="H181" s="217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  <c r="AD181" s="216"/>
      <c r="AE181" s="216"/>
      <c r="AF181" s="216"/>
      <c r="AG181" s="216"/>
      <c r="AH181" s="216"/>
      <c r="AI181" s="216"/>
      <c r="AJ181" s="216"/>
      <c r="AK181" s="216"/>
      <c r="AL181" s="225"/>
      <c r="AM181" s="225"/>
      <c r="AN181" s="226"/>
      <c r="AO181" s="226"/>
      <c r="AP181" s="226"/>
      <c r="AQ181" s="226"/>
      <c r="AR181" s="226"/>
      <c r="AS181" s="226"/>
      <c r="AT181" s="226"/>
      <c r="AU181" s="226"/>
      <c r="AV181" s="226"/>
      <c r="AW181" s="226"/>
      <c r="AX181" s="226"/>
      <c r="AY181" s="226"/>
      <c r="AZ181" s="226"/>
      <c r="BA181" s="226"/>
      <c r="BB181" s="226"/>
      <c r="BC181" s="226"/>
      <c r="BD181" s="226"/>
      <c r="BE181" s="226"/>
      <c r="BF181" s="226"/>
      <c r="BG181" s="226"/>
      <c r="BH181" s="226"/>
      <c r="BI181" s="226"/>
      <c r="BJ181" s="226"/>
      <c r="BK181" s="226"/>
      <c r="BL181" s="226"/>
      <c r="BM181" s="227"/>
    </row>
    <row r="182" ht="15" spans="4:65">
      <c r="D182" s="215"/>
      <c r="E182" s="216"/>
      <c r="F182" s="216"/>
      <c r="G182" s="216"/>
      <c r="H182" s="217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  <c r="AK182" s="216"/>
      <c r="AL182" s="225"/>
      <c r="AM182" s="225"/>
      <c r="AN182" s="226"/>
      <c r="AO182" s="226"/>
      <c r="AP182" s="226"/>
      <c r="AQ182" s="226"/>
      <c r="AR182" s="226"/>
      <c r="AS182" s="226"/>
      <c r="AT182" s="226"/>
      <c r="AU182" s="226"/>
      <c r="AV182" s="226"/>
      <c r="AW182" s="226"/>
      <c r="AX182" s="226"/>
      <c r="AY182" s="226"/>
      <c r="AZ182" s="226"/>
      <c r="BA182" s="226"/>
      <c r="BB182" s="226"/>
      <c r="BC182" s="226"/>
      <c r="BD182" s="226"/>
      <c r="BE182" s="226"/>
      <c r="BF182" s="226"/>
      <c r="BG182" s="226"/>
      <c r="BH182" s="226"/>
      <c r="BI182" s="226"/>
      <c r="BJ182" s="226"/>
      <c r="BK182" s="226"/>
      <c r="BL182" s="226"/>
      <c r="BM182" s="227"/>
    </row>
    <row r="183" ht="15" spans="4:65">
      <c r="D183" s="215"/>
      <c r="E183" s="216"/>
      <c r="F183" s="216"/>
      <c r="G183" s="216"/>
      <c r="H183" s="217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  <c r="AH183" s="216"/>
      <c r="AI183" s="216"/>
      <c r="AJ183" s="216"/>
      <c r="AK183" s="216"/>
      <c r="AL183" s="225"/>
      <c r="AM183" s="225"/>
      <c r="AN183" s="226"/>
      <c r="AO183" s="226"/>
      <c r="AP183" s="226"/>
      <c r="AQ183" s="226"/>
      <c r="AR183" s="226"/>
      <c r="AS183" s="226"/>
      <c r="AT183" s="226"/>
      <c r="AU183" s="226"/>
      <c r="AV183" s="226"/>
      <c r="AW183" s="226"/>
      <c r="AX183" s="226"/>
      <c r="AY183" s="226"/>
      <c r="AZ183" s="226"/>
      <c r="BA183" s="226"/>
      <c r="BB183" s="226"/>
      <c r="BC183" s="226"/>
      <c r="BD183" s="226"/>
      <c r="BE183" s="226"/>
      <c r="BF183" s="226"/>
      <c r="BG183" s="226"/>
      <c r="BH183" s="226"/>
      <c r="BI183" s="226"/>
      <c r="BJ183" s="226"/>
      <c r="BK183" s="226"/>
      <c r="BL183" s="226"/>
      <c r="BM183" s="227"/>
    </row>
    <row r="184" ht="15" spans="4:65">
      <c r="D184" s="215"/>
      <c r="E184" s="216"/>
      <c r="F184" s="216"/>
      <c r="G184" s="216"/>
      <c r="H184" s="217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  <c r="AD184" s="216"/>
      <c r="AE184" s="216"/>
      <c r="AF184" s="216"/>
      <c r="AG184" s="216"/>
      <c r="AH184" s="216"/>
      <c r="AI184" s="216"/>
      <c r="AJ184" s="216"/>
      <c r="AK184" s="216"/>
      <c r="AL184" s="225"/>
      <c r="AM184" s="225"/>
      <c r="AN184" s="226"/>
      <c r="AO184" s="226"/>
      <c r="AP184" s="226"/>
      <c r="AQ184" s="226"/>
      <c r="AR184" s="226"/>
      <c r="AS184" s="226"/>
      <c r="AT184" s="226"/>
      <c r="AU184" s="226"/>
      <c r="AV184" s="226"/>
      <c r="AW184" s="226"/>
      <c r="AX184" s="226"/>
      <c r="AY184" s="226"/>
      <c r="AZ184" s="226"/>
      <c r="BA184" s="226"/>
      <c r="BB184" s="226"/>
      <c r="BC184" s="226"/>
      <c r="BD184" s="226"/>
      <c r="BE184" s="226"/>
      <c r="BF184" s="226"/>
      <c r="BG184" s="226"/>
      <c r="BH184" s="226"/>
      <c r="BI184" s="226"/>
      <c r="BJ184" s="226"/>
      <c r="BK184" s="226"/>
      <c r="BL184" s="226"/>
      <c r="BM184" s="227"/>
    </row>
    <row r="185" ht="15" spans="4:65">
      <c r="D185" s="215"/>
      <c r="E185" s="216"/>
      <c r="F185" s="216"/>
      <c r="G185" s="216"/>
      <c r="H185" s="217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  <c r="AE185" s="216"/>
      <c r="AF185" s="216"/>
      <c r="AG185" s="216"/>
      <c r="AH185" s="216"/>
      <c r="AI185" s="216"/>
      <c r="AJ185" s="216"/>
      <c r="AK185" s="216"/>
      <c r="AL185" s="225"/>
      <c r="AM185" s="225"/>
      <c r="AN185" s="226"/>
      <c r="AO185" s="226"/>
      <c r="AP185" s="226"/>
      <c r="AQ185" s="226"/>
      <c r="AR185" s="226"/>
      <c r="AS185" s="226"/>
      <c r="AT185" s="226"/>
      <c r="AU185" s="226"/>
      <c r="AV185" s="226"/>
      <c r="AW185" s="226"/>
      <c r="AX185" s="226"/>
      <c r="AY185" s="226"/>
      <c r="AZ185" s="226"/>
      <c r="BA185" s="226"/>
      <c r="BB185" s="226"/>
      <c r="BC185" s="226"/>
      <c r="BD185" s="226"/>
      <c r="BE185" s="226"/>
      <c r="BF185" s="226"/>
      <c r="BG185" s="226"/>
      <c r="BH185" s="226"/>
      <c r="BI185" s="226"/>
      <c r="BJ185" s="226"/>
      <c r="BK185" s="226"/>
      <c r="BL185" s="226"/>
      <c r="BM185" s="227"/>
    </row>
    <row r="186" ht="15" spans="4:65">
      <c r="D186" s="215"/>
      <c r="E186" s="216"/>
      <c r="F186" s="216"/>
      <c r="G186" s="216"/>
      <c r="H186" s="217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  <c r="AD186" s="216"/>
      <c r="AE186" s="216"/>
      <c r="AF186" s="216"/>
      <c r="AG186" s="216"/>
      <c r="AH186" s="216"/>
      <c r="AI186" s="216"/>
      <c r="AJ186" s="216"/>
      <c r="AK186" s="216"/>
      <c r="AL186" s="225"/>
      <c r="AM186" s="225"/>
      <c r="AN186" s="226"/>
      <c r="AO186" s="226"/>
      <c r="AP186" s="226"/>
      <c r="AQ186" s="226"/>
      <c r="AR186" s="226"/>
      <c r="AS186" s="226"/>
      <c r="AT186" s="226"/>
      <c r="AU186" s="226"/>
      <c r="AV186" s="226"/>
      <c r="AW186" s="226"/>
      <c r="AX186" s="226"/>
      <c r="AY186" s="226"/>
      <c r="AZ186" s="226"/>
      <c r="BA186" s="226"/>
      <c r="BB186" s="226"/>
      <c r="BC186" s="226"/>
      <c r="BD186" s="226"/>
      <c r="BE186" s="226"/>
      <c r="BF186" s="226"/>
      <c r="BG186" s="226"/>
      <c r="BH186" s="226"/>
      <c r="BI186" s="226"/>
      <c r="BJ186" s="226"/>
      <c r="BK186" s="226"/>
      <c r="BL186" s="226"/>
      <c r="BM186" s="227"/>
    </row>
    <row r="187" ht="15" spans="4:65">
      <c r="D187" s="215"/>
      <c r="E187" s="216"/>
      <c r="F187" s="216"/>
      <c r="G187" s="216"/>
      <c r="H187" s="217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  <c r="AE187" s="216"/>
      <c r="AF187" s="216"/>
      <c r="AG187" s="216"/>
      <c r="AH187" s="216"/>
      <c r="AI187" s="216"/>
      <c r="AJ187" s="216"/>
      <c r="AK187" s="216"/>
      <c r="AL187" s="225"/>
      <c r="AM187" s="225"/>
      <c r="AN187" s="226"/>
      <c r="AO187" s="226"/>
      <c r="AP187" s="226"/>
      <c r="AQ187" s="226"/>
      <c r="AR187" s="226"/>
      <c r="AS187" s="226"/>
      <c r="AT187" s="226"/>
      <c r="AU187" s="226"/>
      <c r="AV187" s="226"/>
      <c r="AW187" s="226"/>
      <c r="AX187" s="226"/>
      <c r="AY187" s="226"/>
      <c r="AZ187" s="226"/>
      <c r="BA187" s="226"/>
      <c r="BB187" s="226"/>
      <c r="BC187" s="226"/>
      <c r="BD187" s="226"/>
      <c r="BE187" s="226"/>
      <c r="BF187" s="226"/>
      <c r="BG187" s="226"/>
      <c r="BH187" s="226"/>
      <c r="BI187" s="226"/>
      <c r="BJ187" s="226"/>
      <c r="BK187" s="226"/>
      <c r="BL187" s="226"/>
      <c r="BM187" s="227"/>
    </row>
    <row r="188" ht="15" spans="4:65">
      <c r="D188" s="215"/>
      <c r="E188" s="216"/>
      <c r="F188" s="216"/>
      <c r="G188" s="216"/>
      <c r="H188" s="217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  <c r="AE188" s="216"/>
      <c r="AF188" s="216"/>
      <c r="AG188" s="216"/>
      <c r="AH188" s="216"/>
      <c r="AI188" s="216"/>
      <c r="AJ188" s="216"/>
      <c r="AK188" s="216"/>
      <c r="AL188" s="225"/>
      <c r="AM188" s="225"/>
      <c r="AN188" s="226"/>
      <c r="AO188" s="226"/>
      <c r="AP188" s="226"/>
      <c r="AQ188" s="226"/>
      <c r="AR188" s="226"/>
      <c r="AS188" s="226"/>
      <c r="AT188" s="226"/>
      <c r="AU188" s="226"/>
      <c r="AV188" s="226"/>
      <c r="AW188" s="226"/>
      <c r="AX188" s="226"/>
      <c r="AY188" s="226"/>
      <c r="AZ188" s="226"/>
      <c r="BA188" s="226"/>
      <c r="BB188" s="226"/>
      <c r="BC188" s="226"/>
      <c r="BD188" s="226"/>
      <c r="BE188" s="226"/>
      <c r="BF188" s="226"/>
      <c r="BG188" s="226"/>
      <c r="BH188" s="226"/>
      <c r="BI188" s="226"/>
      <c r="BJ188" s="226"/>
      <c r="BK188" s="226"/>
      <c r="BL188" s="226"/>
      <c r="BM188" s="227"/>
    </row>
    <row r="189" ht="15" spans="4:65">
      <c r="D189" s="215"/>
      <c r="E189" s="216"/>
      <c r="F189" s="216"/>
      <c r="G189" s="216"/>
      <c r="H189" s="217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  <c r="AE189" s="216"/>
      <c r="AF189" s="216"/>
      <c r="AG189" s="216"/>
      <c r="AH189" s="216"/>
      <c r="AI189" s="216"/>
      <c r="AJ189" s="216"/>
      <c r="AK189" s="216"/>
      <c r="AL189" s="225"/>
      <c r="AM189" s="225"/>
      <c r="AN189" s="226"/>
      <c r="AO189" s="226"/>
      <c r="AP189" s="226"/>
      <c r="AQ189" s="226"/>
      <c r="AR189" s="226"/>
      <c r="AS189" s="226"/>
      <c r="AT189" s="226"/>
      <c r="AU189" s="226"/>
      <c r="AV189" s="226"/>
      <c r="AW189" s="226"/>
      <c r="AX189" s="226"/>
      <c r="AY189" s="226"/>
      <c r="AZ189" s="226"/>
      <c r="BA189" s="226"/>
      <c r="BB189" s="226"/>
      <c r="BC189" s="226"/>
      <c r="BD189" s="226"/>
      <c r="BE189" s="226"/>
      <c r="BF189" s="226"/>
      <c r="BG189" s="226"/>
      <c r="BH189" s="226"/>
      <c r="BI189" s="226"/>
      <c r="BJ189" s="226"/>
      <c r="BK189" s="226"/>
      <c r="BL189" s="226"/>
      <c r="BM189" s="227"/>
    </row>
    <row r="190" ht="15" spans="4:65">
      <c r="D190" s="215"/>
      <c r="E190" s="216"/>
      <c r="F190" s="216"/>
      <c r="G190" s="216"/>
      <c r="H190" s="217"/>
      <c r="I190" s="216"/>
      <c r="J190" s="218"/>
      <c r="K190" s="218"/>
      <c r="L190" s="218"/>
      <c r="M190" s="218"/>
      <c r="N190" s="218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  <c r="AD190" s="216"/>
      <c r="AE190" s="216"/>
      <c r="AF190" s="216"/>
      <c r="AG190" s="216"/>
      <c r="AH190" s="216"/>
      <c r="AI190" s="216"/>
      <c r="AJ190" s="216"/>
      <c r="AK190" s="216"/>
      <c r="AL190" s="225"/>
      <c r="AM190" s="225"/>
      <c r="AN190" s="226"/>
      <c r="AO190" s="226"/>
      <c r="AP190" s="226"/>
      <c r="AQ190" s="226"/>
      <c r="AR190" s="226"/>
      <c r="AS190" s="226"/>
      <c r="AT190" s="226"/>
      <c r="AU190" s="226"/>
      <c r="AV190" s="226"/>
      <c r="AW190" s="226"/>
      <c r="AX190" s="226"/>
      <c r="AY190" s="226"/>
      <c r="AZ190" s="226"/>
      <c r="BA190" s="226"/>
      <c r="BB190" s="226"/>
      <c r="BC190" s="226"/>
      <c r="BD190" s="226"/>
      <c r="BE190" s="226"/>
      <c r="BF190" s="226"/>
      <c r="BG190" s="226"/>
      <c r="BH190" s="226"/>
      <c r="BI190" s="226"/>
      <c r="BJ190" s="226"/>
      <c r="BK190" s="226"/>
      <c r="BL190" s="226"/>
      <c r="BM190" s="227"/>
    </row>
    <row r="191" ht="15" spans="4:65">
      <c r="D191" s="215"/>
      <c r="E191" s="216"/>
      <c r="F191" s="216"/>
      <c r="G191" s="216"/>
      <c r="H191" s="217"/>
      <c r="I191" s="216"/>
      <c r="J191" s="218"/>
      <c r="K191" s="218"/>
      <c r="L191" s="218"/>
      <c r="M191" s="218"/>
      <c r="N191" s="218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  <c r="AD191" s="216"/>
      <c r="AE191" s="216"/>
      <c r="AF191" s="216"/>
      <c r="AG191" s="216"/>
      <c r="AH191" s="216"/>
      <c r="AI191" s="216"/>
      <c r="AJ191" s="216"/>
      <c r="AK191" s="216"/>
      <c r="AL191" s="225"/>
      <c r="AM191" s="225"/>
      <c r="AN191" s="226"/>
      <c r="AO191" s="226"/>
      <c r="AP191" s="226"/>
      <c r="AQ191" s="226"/>
      <c r="AR191" s="226"/>
      <c r="AS191" s="226"/>
      <c r="AT191" s="226"/>
      <c r="AU191" s="226"/>
      <c r="AV191" s="226"/>
      <c r="AW191" s="226"/>
      <c r="AX191" s="226"/>
      <c r="AY191" s="226"/>
      <c r="AZ191" s="226"/>
      <c r="BA191" s="226"/>
      <c r="BB191" s="226"/>
      <c r="BC191" s="226"/>
      <c r="BD191" s="226"/>
      <c r="BE191" s="226"/>
      <c r="BF191" s="226"/>
      <c r="BG191" s="226"/>
      <c r="BH191" s="226"/>
      <c r="BI191" s="226"/>
      <c r="BJ191" s="226"/>
      <c r="BK191" s="226"/>
      <c r="BL191" s="226"/>
      <c r="BM191" s="227"/>
    </row>
    <row r="192" ht="15" spans="4:65">
      <c r="D192" s="215"/>
      <c r="E192" s="216"/>
      <c r="F192" s="216"/>
      <c r="G192" s="216"/>
      <c r="H192" s="217"/>
      <c r="I192" s="216"/>
      <c r="J192" s="218"/>
      <c r="K192" s="218"/>
      <c r="L192" s="218"/>
      <c r="M192" s="218"/>
      <c r="N192" s="218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  <c r="AD192" s="216"/>
      <c r="AE192" s="216"/>
      <c r="AF192" s="216"/>
      <c r="AG192" s="216"/>
      <c r="AH192" s="216"/>
      <c r="AI192" s="216"/>
      <c r="AJ192" s="216"/>
      <c r="AK192" s="216"/>
      <c r="AL192" s="225"/>
      <c r="AM192" s="225"/>
      <c r="AN192" s="226"/>
      <c r="AO192" s="226"/>
      <c r="AP192" s="226"/>
      <c r="AQ192" s="226"/>
      <c r="AR192" s="226"/>
      <c r="AS192" s="226"/>
      <c r="AT192" s="226"/>
      <c r="AU192" s="226"/>
      <c r="AV192" s="226"/>
      <c r="AW192" s="226"/>
      <c r="AX192" s="226"/>
      <c r="AY192" s="226"/>
      <c r="AZ192" s="226"/>
      <c r="BA192" s="226"/>
      <c r="BB192" s="226"/>
      <c r="BC192" s="226"/>
      <c r="BD192" s="226"/>
      <c r="BE192" s="226"/>
      <c r="BF192" s="226"/>
      <c r="BG192" s="226"/>
      <c r="BH192" s="226"/>
      <c r="BI192" s="226"/>
      <c r="BJ192" s="226"/>
      <c r="BK192" s="226"/>
      <c r="BL192" s="226"/>
      <c r="BM192" s="227"/>
    </row>
    <row r="193" ht="15" spans="4:65">
      <c r="D193" s="215"/>
      <c r="E193" s="216"/>
      <c r="F193" s="216"/>
      <c r="G193" s="216"/>
      <c r="H193" s="217"/>
      <c r="I193" s="216"/>
      <c r="J193" s="218"/>
      <c r="K193" s="218"/>
      <c r="L193" s="218"/>
      <c r="M193" s="218"/>
      <c r="N193" s="218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  <c r="AD193" s="216"/>
      <c r="AE193" s="216"/>
      <c r="AF193" s="216"/>
      <c r="AG193" s="216"/>
      <c r="AH193" s="216"/>
      <c r="AI193" s="216"/>
      <c r="AJ193" s="216"/>
      <c r="AK193" s="216"/>
      <c r="AL193" s="225"/>
      <c r="AM193" s="225"/>
      <c r="AN193" s="226"/>
      <c r="AO193" s="226"/>
      <c r="AP193" s="226"/>
      <c r="AQ193" s="226"/>
      <c r="AR193" s="226"/>
      <c r="AS193" s="226"/>
      <c r="AT193" s="226"/>
      <c r="AU193" s="226"/>
      <c r="AV193" s="226"/>
      <c r="AW193" s="226"/>
      <c r="AX193" s="226"/>
      <c r="AY193" s="226"/>
      <c r="AZ193" s="226"/>
      <c r="BA193" s="226"/>
      <c r="BB193" s="226"/>
      <c r="BC193" s="226"/>
      <c r="BD193" s="226"/>
      <c r="BE193" s="226"/>
      <c r="BF193" s="226"/>
      <c r="BG193" s="226"/>
      <c r="BH193" s="226"/>
      <c r="BI193" s="226"/>
      <c r="BJ193" s="226"/>
      <c r="BK193" s="226"/>
      <c r="BL193" s="226"/>
      <c r="BM193" s="227"/>
    </row>
    <row r="194" ht="15" spans="4:65">
      <c r="D194" s="215"/>
      <c r="E194" s="216"/>
      <c r="F194" s="216"/>
      <c r="G194" s="216"/>
      <c r="H194" s="217"/>
      <c r="I194" s="216"/>
      <c r="J194" s="218"/>
      <c r="K194" s="218"/>
      <c r="L194" s="218"/>
      <c r="M194" s="218"/>
      <c r="N194" s="218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  <c r="AD194" s="216"/>
      <c r="AE194" s="216"/>
      <c r="AF194" s="216"/>
      <c r="AG194" s="216"/>
      <c r="AH194" s="216"/>
      <c r="AI194" s="216"/>
      <c r="AJ194" s="216"/>
      <c r="AK194" s="216"/>
      <c r="AL194" s="225"/>
      <c r="AM194" s="225"/>
      <c r="AN194" s="226"/>
      <c r="AO194" s="226"/>
      <c r="AP194" s="226"/>
      <c r="AQ194" s="226"/>
      <c r="AR194" s="226"/>
      <c r="AS194" s="226"/>
      <c r="AT194" s="226"/>
      <c r="AU194" s="226"/>
      <c r="AV194" s="226"/>
      <c r="AW194" s="226"/>
      <c r="AX194" s="226"/>
      <c r="AY194" s="226"/>
      <c r="AZ194" s="226"/>
      <c r="BA194" s="226"/>
      <c r="BB194" s="226"/>
      <c r="BC194" s="226"/>
      <c r="BD194" s="226"/>
      <c r="BE194" s="226"/>
      <c r="BF194" s="226"/>
      <c r="BG194" s="226"/>
      <c r="BH194" s="226"/>
      <c r="BI194" s="226"/>
      <c r="BJ194" s="226"/>
      <c r="BK194" s="226"/>
      <c r="BL194" s="226"/>
      <c r="BM194" s="227"/>
    </row>
    <row r="195" ht="15" spans="4:65">
      <c r="D195" s="215"/>
      <c r="E195" s="216"/>
      <c r="F195" s="216"/>
      <c r="G195" s="216"/>
      <c r="H195" s="217"/>
      <c r="I195" s="216"/>
      <c r="J195" s="218"/>
      <c r="K195" s="218"/>
      <c r="L195" s="218"/>
      <c r="M195" s="218"/>
      <c r="N195" s="218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  <c r="AD195" s="216"/>
      <c r="AE195" s="216"/>
      <c r="AF195" s="216"/>
      <c r="AG195" s="216"/>
      <c r="AH195" s="216"/>
      <c r="AI195" s="216"/>
      <c r="AJ195" s="216"/>
      <c r="AK195" s="216"/>
      <c r="AL195" s="225"/>
      <c r="AM195" s="225"/>
      <c r="AN195" s="226"/>
      <c r="AO195" s="226"/>
      <c r="AP195" s="226"/>
      <c r="AQ195" s="226"/>
      <c r="AR195" s="226"/>
      <c r="AS195" s="226"/>
      <c r="AT195" s="226"/>
      <c r="AU195" s="226"/>
      <c r="AV195" s="226"/>
      <c r="AW195" s="226"/>
      <c r="AX195" s="226"/>
      <c r="AY195" s="226"/>
      <c r="AZ195" s="226"/>
      <c r="BA195" s="226"/>
      <c r="BB195" s="226"/>
      <c r="BC195" s="226"/>
      <c r="BD195" s="226"/>
      <c r="BE195" s="226"/>
      <c r="BF195" s="226"/>
      <c r="BG195" s="226"/>
      <c r="BH195" s="226"/>
      <c r="BI195" s="226"/>
      <c r="BJ195" s="226"/>
      <c r="BK195" s="226"/>
      <c r="BL195" s="226"/>
      <c r="BM195" s="227"/>
    </row>
    <row r="196" ht="15" spans="4:65">
      <c r="D196" s="215"/>
      <c r="E196" s="216"/>
      <c r="F196" s="216"/>
      <c r="G196" s="216"/>
      <c r="H196" s="217"/>
      <c r="I196" s="216"/>
      <c r="J196" s="218"/>
      <c r="K196" s="218"/>
      <c r="L196" s="218"/>
      <c r="M196" s="218"/>
      <c r="N196" s="218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  <c r="AD196" s="216"/>
      <c r="AE196" s="216"/>
      <c r="AF196" s="216"/>
      <c r="AG196" s="216"/>
      <c r="AH196" s="216"/>
      <c r="AI196" s="216"/>
      <c r="AJ196" s="216"/>
      <c r="AK196" s="216"/>
      <c r="AL196" s="225"/>
      <c r="AM196" s="225"/>
      <c r="AN196" s="226"/>
      <c r="AO196" s="226"/>
      <c r="AP196" s="226"/>
      <c r="AQ196" s="226"/>
      <c r="AR196" s="226"/>
      <c r="AS196" s="226"/>
      <c r="AT196" s="226"/>
      <c r="AU196" s="226"/>
      <c r="AV196" s="226"/>
      <c r="AW196" s="226"/>
      <c r="AX196" s="226"/>
      <c r="AY196" s="226"/>
      <c r="AZ196" s="226"/>
      <c r="BA196" s="226"/>
      <c r="BB196" s="226"/>
      <c r="BC196" s="226"/>
      <c r="BD196" s="226"/>
      <c r="BE196" s="226"/>
      <c r="BF196" s="226"/>
      <c r="BG196" s="226"/>
      <c r="BH196" s="226"/>
      <c r="BI196" s="226"/>
      <c r="BJ196" s="226"/>
      <c r="BK196" s="226"/>
      <c r="BL196" s="226"/>
      <c r="BM196" s="227"/>
    </row>
    <row r="197" ht="15" spans="4:65">
      <c r="D197" s="215"/>
      <c r="E197" s="216"/>
      <c r="F197" s="216"/>
      <c r="G197" s="216"/>
      <c r="H197" s="217"/>
      <c r="I197" s="216"/>
      <c r="J197" s="218"/>
      <c r="K197" s="218"/>
      <c r="L197" s="218"/>
      <c r="M197" s="218"/>
      <c r="N197" s="218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  <c r="AD197" s="216"/>
      <c r="AE197" s="216"/>
      <c r="AF197" s="216"/>
      <c r="AG197" s="216"/>
      <c r="AH197" s="216"/>
      <c r="AI197" s="216"/>
      <c r="AJ197" s="216"/>
      <c r="AK197" s="216"/>
      <c r="AL197" s="225"/>
      <c r="AM197" s="225"/>
      <c r="AN197" s="226"/>
      <c r="AO197" s="226"/>
      <c r="AP197" s="226"/>
      <c r="AQ197" s="226"/>
      <c r="AR197" s="226"/>
      <c r="AS197" s="226"/>
      <c r="AT197" s="226"/>
      <c r="AU197" s="226"/>
      <c r="AV197" s="226"/>
      <c r="AW197" s="226"/>
      <c r="AX197" s="226"/>
      <c r="AY197" s="226"/>
      <c r="AZ197" s="226"/>
      <c r="BA197" s="226"/>
      <c r="BB197" s="226"/>
      <c r="BC197" s="226"/>
      <c r="BD197" s="226"/>
      <c r="BE197" s="226"/>
      <c r="BF197" s="226"/>
      <c r="BG197" s="226"/>
      <c r="BH197" s="226"/>
      <c r="BI197" s="226"/>
      <c r="BJ197" s="226"/>
      <c r="BK197" s="226"/>
      <c r="BL197" s="226"/>
      <c r="BM197" s="227"/>
    </row>
    <row r="198" ht="15" spans="4:65">
      <c r="D198" s="215"/>
      <c r="E198" s="216"/>
      <c r="F198" s="216"/>
      <c r="G198" s="216"/>
      <c r="H198" s="217"/>
      <c r="I198" s="216"/>
      <c r="J198" s="218"/>
      <c r="K198" s="218"/>
      <c r="L198" s="218"/>
      <c r="M198" s="218"/>
      <c r="N198" s="218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  <c r="AD198" s="216"/>
      <c r="AE198" s="216"/>
      <c r="AF198" s="216"/>
      <c r="AG198" s="216"/>
      <c r="AH198" s="216"/>
      <c r="AI198" s="216"/>
      <c r="AJ198" s="216"/>
      <c r="AK198" s="216"/>
      <c r="AL198" s="225"/>
      <c r="AM198" s="225"/>
      <c r="AN198" s="226"/>
      <c r="AO198" s="226"/>
      <c r="AP198" s="226"/>
      <c r="AQ198" s="226"/>
      <c r="AR198" s="226"/>
      <c r="AS198" s="226"/>
      <c r="AT198" s="226"/>
      <c r="AU198" s="226"/>
      <c r="AV198" s="226"/>
      <c r="AW198" s="226"/>
      <c r="AX198" s="226"/>
      <c r="AY198" s="226"/>
      <c r="AZ198" s="226"/>
      <c r="BA198" s="226"/>
      <c r="BB198" s="226"/>
      <c r="BC198" s="226"/>
      <c r="BD198" s="226"/>
      <c r="BE198" s="226"/>
      <c r="BF198" s="226"/>
      <c r="BG198" s="226"/>
      <c r="BH198" s="226"/>
      <c r="BI198" s="226"/>
      <c r="BJ198" s="226"/>
      <c r="BK198" s="226"/>
      <c r="BL198" s="226"/>
      <c r="BM198" s="227"/>
    </row>
    <row r="199" ht="15" spans="4:65">
      <c r="D199" s="215"/>
      <c r="E199" s="216"/>
      <c r="F199" s="216"/>
      <c r="G199" s="216"/>
      <c r="H199" s="217"/>
      <c r="I199" s="216"/>
      <c r="J199" s="218"/>
      <c r="K199" s="218"/>
      <c r="L199" s="218"/>
      <c r="M199" s="218"/>
      <c r="N199" s="218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  <c r="AE199" s="216"/>
      <c r="AF199" s="216"/>
      <c r="AG199" s="216"/>
      <c r="AH199" s="216"/>
      <c r="AI199" s="216"/>
      <c r="AJ199" s="216"/>
      <c r="AK199" s="216"/>
      <c r="AL199" s="225"/>
      <c r="AM199" s="225"/>
      <c r="AN199" s="226"/>
      <c r="AO199" s="226"/>
      <c r="AP199" s="226"/>
      <c r="AQ199" s="226"/>
      <c r="AR199" s="226"/>
      <c r="AS199" s="226"/>
      <c r="AT199" s="226"/>
      <c r="AU199" s="226"/>
      <c r="AV199" s="226"/>
      <c r="AW199" s="226"/>
      <c r="AX199" s="226"/>
      <c r="AY199" s="226"/>
      <c r="AZ199" s="226"/>
      <c r="BA199" s="226"/>
      <c r="BB199" s="226"/>
      <c r="BC199" s="226"/>
      <c r="BD199" s="226"/>
      <c r="BE199" s="226"/>
      <c r="BF199" s="226"/>
      <c r="BG199" s="226"/>
      <c r="BH199" s="226"/>
      <c r="BI199" s="226"/>
      <c r="BJ199" s="226"/>
      <c r="BK199" s="226"/>
      <c r="BL199" s="226"/>
      <c r="BM199" s="227"/>
    </row>
    <row r="200" ht="15" spans="4:65">
      <c r="D200" s="215"/>
      <c r="E200" s="216"/>
      <c r="F200" s="216"/>
      <c r="G200" s="216"/>
      <c r="H200" s="217"/>
      <c r="I200" s="216"/>
      <c r="J200" s="218"/>
      <c r="K200" s="218"/>
      <c r="L200" s="218"/>
      <c r="M200" s="218"/>
      <c r="N200" s="218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  <c r="AE200" s="216"/>
      <c r="AF200" s="216"/>
      <c r="AG200" s="216"/>
      <c r="AH200" s="216"/>
      <c r="AI200" s="216"/>
      <c r="AJ200" s="216"/>
      <c r="AK200" s="216"/>
      <c r="AL200" s="225"/>
      <c r="AM200" s="225"/>
      <c r="AN200" s="226"/>
      <c r="AO200" s="226"/>
      <c r="AP200" s="226"/>
      <c r="AQ200" s="226"/>
      <c r="AR200" s="226"/>
      <c r="AS200" s="226"/>
      <c r="AT200" s="226"/>
      <c r="AU200" s="226"/>
      <c r="AV200" s="226"/>
      <c r="AW200" s="226"/>
      <c r="AX200" s="226"/>
      <c r="AY200" s="226"/>
      <c r="AZ200" s="226"/>
      <c r="BA200" s="226"/>
      <c r="BB200" s="226"/>
      <c r="BC200" s="226"/>
      <c r="BD200" s="226"/>
      <c r="BE200" s="226"/>
      <c r="BF200" s="226"/>
      <c r="BG200" s="226"/>
      <c r="BH200" s="226"/>
      <c r="BI200" s="226"/>
      <c r="BJ200" s="226"/>
      <c r="BK200" s="226"/>
      <c r="BL200" s="226"/>
      <c r="BM200" s="227"/>
    </row>
    <row r="201" ht="15" spans="4:65">
      <c r="D201" s="215"/>
      <c r="E201" s="216"/>
      <c r="F201" s="216"/>
      <c r="G201" s="216"/>
      <c r="H201" s="217"/>
      <c r="I201" s="216"/>
      <c r="J201" s="218"/>
      <c r="K201" s="218"/>
      <c r="L201" s="218"/>
      <c r="M201" s="218"/>
      <c r="N201" s="218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  <c r="AD201" s="216"/>
      <c r="AE201" s="216"/>
      <c r="AF201" s="216"/>
      <c r="AG201" s="216"/>
      <c r="AH201" s="216"/>
      <c r="AI201" s="216"/>
      <c r="AJ201" s="216"/>
      <c r="AK201" s="216"/>
      <c r="AL201" s="225"/>
      <c r="AM201" s="225"/>
      <c r="AN201" s="226"/>
      <c r="AO201" s="226"/>
      <c r="AP201" s="226"/>
      <c r="AQ201" s="226"/>
      <c r="AR201" s="226"/>
      <c r="AS201" s="226"/>
      <c r="AT201" s="226"/>
      <c r="AU201" s="226"/>
      <c r="AV201" s="226"/>
      <c r="AW201" s="226"/>
      <c r="AX201" s="226"/>
      <c r="AY201" s="226"/>
      <c r="AZ201" s="226"/>
      <c r="BA201" s="226"/>
      <c r="BB201" s="226"/>
      <c r="BC201" s="226"/>
      <c r="BD201" s="226"/>
      <c r="BE201" s="226"/>
      <c r="BF201" s="226"/>
      <c r="BG201" s="226"/>
      <c r="BH201" s="226"/>
      <c r="BI201" s="226"/>
      <c r="BJ201" s="226"/>
      <c r="BK201" s="226"/>
      <c r="BL201" s="226"/>
      <c r="BM201" s="227"/>
    </row>
    <row r="202" ht="15" spans="4:65">
      <c r="D202" s="215"/>
      <c r="E202" s="216"/>
      <c r="F202" s="216"/>
      <c r="G202" s="216"/>
      <c r="H202" s="217"/>
      <c r="I202" s="216"/>
      <c r="J202" s="218"/>
      <c r="K202" s="218"/>
      <c r="L202" s="218"/>
      <c r="M202" s="218"/>
      <c r="N202" s="218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  <c r="AE202" s="216"/>
      <c r="AF202" s="216"/>
      <c r="AG202" s="216"/>
      <c r="AH202" s="216"/>
      <c r="AI202" s="216"/>
      <c r="AJ202" s="216"/>
      <c r="AK202" s="216"/>
      <c r="AL202" s="216"/>
      <c r="AM202" s="216"/>
      <c r="AN202" s="216"/>
      <c r="AO202" s="216"/>
      <c r="AP202" s="216"/>
      <c r="AQ202" s="216"/>
      <c r="AR202" s="216"/>
      <c r="AS202" s="216"/>
      <c r="AT202" s="216"/>
      <c r="AU202" s="216"/>
      <c r="AV202" s="216"/>
      <c r="AW202" s="216"/>
      <c r="AX202" s="216"/>
      <c r="AY202" s="216"/>
      <c r="AZ202" s="216"/>
      <c r="BA202" s="216"/>
      <c r="BB202" s="216"/>
      <c r="BC202" s="216"/>
      <c r="BD202" s="216"/>
      <c r="BE202" s="216"/>
      <c r="BF202" s="216"/>
      <c r="BG202" s="216"/>
      <c r="BH202" s="216"/>
      <c r="BI202" s="216"/>
      <c r="BJ202" s="216"/>
      <c r="BK202" s="216"/>
      <c r="BL202" s="216"/>
      <c r="BM202" s="217"/>
    </row>
    <row r="203" ht="15" spans="4:65">
      <c r="D203" s="215"/>
      <c r="E203" s="216"/>
      <c r="F203" s="216"/>
      <c r="G203" s="216"/>
      <c r="H203" s="217"/>
      <c r="I203" s="216"/>
      <c r="J203" s="218"/>
      <c r="K203" s="218"/>
      <c r="L203" s="218"/>
      <c r="M203" s="218"/>
      <c r="N203" s="218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  <c r="AD203" s="216"/>
      <c r="AE203" s="216"/>
      <c r="AF203" s="216"/>
      <c r="AG203" s="216"/>
      <c r="AH203" s="216"/>
      <c r="AI203" s="216"/>
      <c r="AJ203" s="216"/>
      <c r="AK203" s="216"/>
      <c r="AL203" s="216"/>
      <c r="AM203" s="216"/>
      <c r="AN203" s="216"/>
      <c r="AO203" s="216"/>
      <c r="AP203" s="216"/>
      <c r="AQ203" s="216"/>
      <c r="AR203" s="216"/>
      <c r="AS203" s="216"/>
      <c r="AT203" s="216"/>
      <c r="AU203" s="216"/>
      <c r="AV203" s="216"/>
      <c r="AW203" s="216"/>
      <c r="AX203" s="216"/>
      <c r="AY203" s="216"/>
      <c r="AZ203" s="216"/>
      <c r="BA203" s="216"/>
      <c r="BB203" s="216"/>
      <c r="BC203" s="216"/>
      <c r="BD203" s="216"/>
      <c r="BE203" s="216"/>
      <c r="BF203" s="216"/>
      <c r="BG203" s="216"/>
      <c r="BH203" s="216"/>
      <c r="BI203" s="216"/>
      <c r="BJ203" s="216"/>
      <c r="BK203" s="216"/>
      <c r="BL203" s="216"/>
      <c r="BM203" s="217"/>
    </row>
    <row r="204" ht="15" spans="4:65">
      <c r="D204" s="215"/>
      <c r="E204" s="216"/>
      <c r="F204" s="216"/>
      <c r="G204" s="216"/>
      <c r="H204" s="217"/>
      <c r="I204" s="215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  <c r="AD204" s="216"/>
      <c r="AE204" s="216"/>
      <c r="AF204" s="216"/>
      <c r="AG204" s="216"/>
      <c r="AH204" s="216"/>
      <c r="AI204" s="216"/>
      <c r="AJ204" s="216"/>
      <c r="AK204" s="216"/>
      <c r="AL204" s="216"/>
      <c r="AM204" s="216"/>
      <c r="AN204" s="216"/>
      <c r="AO204" s="216"/>
      <c r="AP204" s="216"/>
      <c r="AQ204" s="216"/>
      <c r="AR204" s="216"/>
      <c r="AS204" s="216"/>
      <c r="AT204" s="216"/>
      <c r="AU204" s="216"/>
      <c r="AV204" s="216"/>
      <c r="AW204" s="216"/>
      <c r="AX204" s="216"/>
      <c r="AY204" s="216"/>
      <c r="AZ204" s="216"/>
      <c r="BA204" s="216"/>
      <c r="BB204" s="216"/>
      <c r="BC204" s="216"/>
      <c r="BD204" s="216"/>
      <c r="BE204" s="216"/>
      <c r="BF204" s="216"/>
      <c r="BG204" s="216"/>
      <c r="BH204" s="219"/>
      <c r="BI204" s="216"/>
      <c r="BJ204" s="216"/>
      <c r="BK204" s="216"/>
      <c r="BL204" s="216"/>
      <c r="BM204" s="217"/>
    </row>
    <row r="205" ht="15" spans="4:65">
      <c r="D205" s="230"/>
      <c r="E205" s="231"/>
      <c r="F205" s="231"/>
      <c r="G205" s="231"/>
      <c r="H205" s="232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31"/>
      <c r="AT205" s="231"/>
      <c r="AU205" s="231"/>
      <c r="AV205" s="231"/>
      <c r="AW205" s="231"/>
      <c r="AX205" s="231"/>
      <c r="AY205" s="231"/>
      <c r="AZ205" s="231"/>
      <c r="BA205" s="231"/>
      <c r="BB205" s="231"/>
      <c r="BC205" s="231"/>
      <c r="BD205" s="231"/>
      <c r="BE205" s="231"/>
      <c r="BF205" s="231"/>
      <c r="BG205" s="231"/>
      <c r="BH205" s="231"/>
      <c r="BI205" s="231"/>
      <c r="BJ205" s="231"/>
      <c r="BK205" s="231"/>
      <c r="BL205" s="231"/>
      <c r="BM205" s="232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V34"/>
  <sheetViews>
    <sheetView showGridLines="0" view="pageBreakPreview" zoomScaleNormal="100" workbookViewId="0">
      <pane ySplit="3" topLeftCell="A4" activePane="bottomLeft" state="frozen"/>
      <selection/>
      <selection pane="bottomLeft" activeCell="AQ2" sqref="AQ2:AZ2"/>
    </sheetView>
  </sheetViews>
  <sheetFormatPr defaultColWidth="10.625" defaultRowHeight="12.6"/>
  <cols>
    <col min="1" max="1" width="4.625" style="1" customWidth="1"/>
    <col min="2" max="21" width="2.625" style="1" customWidth="1"/>
    <col min="22" max="22" width="3" style="1" customWidth="1"/>
    <col min="23" max="76" width="2.625" style="1" customWidth="1"/>
    <col min="77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">
        <v>39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">
        <v>41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42</v>
      </c>
      <c r="BB1" s="7"/>
      <c r="BC1" s="7"/>
      <c r="BD1" s="8"/>
      <c r="BE1" s="193" t="str">
        <f>O6</f>
        <v>熊</v>
      </c>
      <c r="BF1" s="11"/>
      <c r="BG1" s="11"/>
      <c r="BH1" s="11"/>
      <c r="BI1" s="11"/>
      <c r="BJ1" s="11"/>
      <c r="BK1" s="194"/>
      <c r="BL1" s="6" t="s">
        <v>43</v>
      </c>
      <c r="BM1" s="7"/>
      <c r="BN1" s="7"/>
      <c r="BO1" s="8"/>
      <c r="BP1" s="9">
        <f>G6</f>
        <v>45680</v>
      </c>
      <c r="BQ1" s="9"/>
      <c r="BR1" s="9"/>
      <c r="BS1" s="9"/>
      <c r="BT1" s="9"/>
      <c r="BU1" s="9"/>
      <c r="BV1" s="9"/>
    </row>
    <row r="2" ht="15" spans="1:74">
      <c r="A2" s="11" t="str">
        <f>AQ1&amp;"_"&amp;X1</f>
        <v>FN1009_004_管理者情報取得API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3" t="s">
        <v>44</v>
      </c>
      <c r="T2" s="3"/>
      <c r="U2" s="3"/>
      <c r="V2" s="3"/>
      <c r="W2" s="3"/>
      <c r="X2" s="11" t="s">
        <v>45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3" t="s">
        <v>46</v>
      </c>
      <c r="AM2" s="3"/>
      <c r="AN2" s="3"/>
      <c r="AO2" s="3"/>
      <c r="AP2" s="5"/>
      <c r="AQ2" s="4" t="s">
        <v>47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48</v>
      </c>
      <c r="BB2" s="7"/>
      <c r="BC2" s="7"/>
      <c r="BD2" s="8"/>
      <c r="BE2" s="9"/>
      <c r="BF2" s="9"/>
      <c r="BG2" s="9"/>
      <c r="BH2" s="9"/>
      <c r="BI2" s="9"/>
      <c r="BJ2" s="9"/>
      <c r="BK2" s="9"/>
      <c r="BL2" s="6" t="s">
        <v>49</v>
      </c>
      <c r="BM2" s="7"/>
      <c r="BN2" s="7"/>
      <c r="BO2" s="8"/>
      <c r="BP2" s="12"/>
      <c r="BQ2" s="13"/>
      <c r="BR2" s="13"/>
      <c r="BS2" s="13"/>
      <c r="BT2" s="13"/>
      <c r="BU2" s="13"/>
      <c r="BV2" s="14"/>
    </row>
    <row r="3" spans="1:74">
      <c r="A3" s="16"/>
    </row>
    <row r="4" spans="1:74">
      <c r="A4" s="16"/>
    </row>
    <row r="5" spans="1:74">
      <c r="A5" s="102" t="s">
        <v>50</v>
      </c>
      <c r="B5" s="125" t="s">
        <v>51</v>
      </c>
      <c r="C5" s="126"/>
      <c r="D5" s="126"/>
      <c r="E5" s="126"/>
      <c r="F5" s="128"/>
      <c r="G5" s="102" t="s">
        <v>52</v>
      </c>
      <c r="H5" s="102"/>
      <c r="I5" s="102"/>
      <c r="J5" s="102"/>
      <c r="K5" s="102"/>
      <c r="L5" s="102"/>
      <c r="M5" s="102"/>
      <c r="N5" s="102"/>
      <c r="O5" s="125" t="s">
        <v>48</v>
      </c>
      <c r="P5" s="126"/>
      <c r="Q5" s="126"/>
      <c r="R5" s="128"/>
      <c r="S5" s="102" t="s">
        <v>53</v>
      </c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25" t="s">
        <v>54</v>
      </c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8"/>
      <c r="AR5" s="125" t="s">
        <v>55</v>
      </c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8"/>
    </row>
    <row r="6" spans="1:74">
      <c r="A6" s="103">
        <f t="shared" ref="A6:A12" si="0">ROW()-3</f>
        <v>3</v>
      </c>
      <c r="B6" s="195">
        <v>1</v>
      </c>
      <c r="C6" s="196"/>
      <c r="D6" s="196"/>
      <c r="E6" s="196"/>
      <c r="F6" s="197"/>
      <c r="G6" s="198">
        <v>45680</v>
      </c>
      <c r="H6" s="198"/>
      <c r="I6" s="198"/>
      <c r="J6" s="198"/>
      <c r="K6" s="198"/>
      <c r="L6" s="198"/>
      <c r="M6" s="198"/>
      <c r="N6" s="198"/>
      <c r="O6" s="195" t="s">
        <v>56</v>
      </c>
      <c r="P6" s="196"/>
      <c r="Q6" s="196"/>
      <c r="R6" s="197"/>
      <c r="S6" s="199" t="s">
        <v>57</v>
      </c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200" t="s">
        <v>58</v>
      </c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2"/>
      <c r="AR6" s="203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20"/>
    </row>
    <row r="7" spans="1:74">
      <c r="A7" s="103">
        <f t="shared" si="0"/>
        <v>4</v>
      </c>
      <c r="B7" s="195"/>
      <c r="C7" s="196"/>
      <c r="D7" s="196"/>
      <c r="E7" s="196"/>
      <c r="F7" s="197"/>
      <c r="G7" s="204"/>
      <c r="H7" s="204"/>
      <c r="I7" s="204"/>
      <c r="J7" s="204"/>
      <c r="K7" s="204"/>
      <c r="L7" s="204"/>
      <c r="M7" s="204"/>
      <c r="N7" s="204"/>
      <c r="O7" s="205"/>
      <c r="P7" s="206"/>
      <c r="Q7" s="206"/>
      <c r="R7" s="207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8"/>
      <c r="AF7" s="200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2"/>
      <c r="AR7" s="203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20"/>
    </row>
    <row r="8" spans="1:74">
      <c r="A8" s="103">
        <f t="shared" si="0"/>
        <v>5</v>
      </c>
      <c r="B8" s="195"/>
      <c r="C8" s="196"/>
      <c r="D8" s="196"/>
      <c r="E8" s="196"/>
      <c r="F8" s="197"/>
      <c r="G8" s="204"/>
      <c r="H8" s="204"/>
      <c r="I8" s="204"/>
      <c r="J8" s="204"/>
      <c r="K8" s="204"/>
      <c r="L8" s="204"/>
      <c r="M8" s="204"/>
      <c r="N8" s="204"/>
      <c r="O8" s="205"/>
      <c r="P8" s="206"/>
      <c r="Q8" s="206"/>
      <c r="R8" s="207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0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2"/>
      <c r="AR8" s="203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20"/>
    </row>
    <row r="9" spans="1:74">
      <c r="A9" s="103">
        <f t="shared" si="0"/>
        <v>6</v>
      </c>
      <c r="B9" s="195"/>
      <c r="C9" s="196"/>
      <c r="D9" s="196"/>
      <c r="E9" s="196"/>
      <c r="F9" s="197"/>
      <c r="G9" s="204"/>
      <c r="H9" s="204"/>
      <c r="I9" s="204"/>
      <c r="J9" s="204"/>
      <c r="K9" s="204"/>
      <c r="L9" s="204"/>
      <c r="M9" s="204"/>
      <c r="N9" s="204"/>
      <c r="O9" s="205"/>
      <c r="P9" s="206"/>
      <c r="Q9" s="206"/>
      <c r="R9" s="207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0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2"/>
      <c r="AR9" s="203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20"/>
    </row>
    <row r="10" spans="1:74">
      <c r="A10" s="103">
        <f t="shared" si="0"/>
        <v>7</v>
      </c>
      <c r="B10" s="195"/>
      <c r="C10" s="196"/>
      <c r="D10" s="196"/>
      <c r="E10" s="196"/>
      <c r="F10" s="197"/>
      <c r="G10" s="204"/>
      <c r="H10" s="204"/>
      <c r="I10" s="204"/>
      <c r="J10" s="204"/>
      <c r="K10" s="204"/>
      <c r="L10" s="204"/>
      <c r="M10" s="204"/>
      <c r="N10" s="204"/>
      <c r="O10" s="205"/>
      <c r="P10" s="206"/>
      <c r="Q10" s="206"/>
      <c r="R10" s="207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0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2"/>
      <c r="AR10" s="203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20"/>
    </row>
    <row r="11" spans="1:74">
      <c r="A11" s="103">
        <f t="shared" si="0"/>
        <v>8</v>
      </c>
      <c r="B11" s="195"/>
      <c r="C11" s="196"/>
      <c r="D11" s="196"/>
      <c r="E11" s="196"/>
      <c r="F11" s="197"/>
      <c r="G11" s="204"/>
      <c r="H11" s="204"/>
      <c r="I11" s="204"/>
      <c r="J11" s="204"/>
      <c r="K11" s="204"/>
      <c r="L11" s="204"/>
      <c r="M11" s="204"/>
      <c r="N11" s="204"/>
      <c r="O11" s="205"/>
      <c r="P11" s="206"/>
      <c r="Q11" s="206"/>
      <c r="R11" s="207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0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2"/>
      <c r="AR11" s="203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20"/>
    </row>
    <row r="12" spans="1:74">
      <c r="A12" s="103">
        <f t="shared" si="0"/>
        <v>9</v>
      </c>
      <c r="B12" s="195"/>
      <c r="C12" s="196"/>
      <c r="D12" s="196"/>
      <c r="E12" s="196"/>
      <c r="F12" s="197"/>
      <c r="G12" s="204"/>
      <c r="H12" s="204"/>
      <c r="I12" s="204"/>
      <c r="J12" s="204"/>
      <c r="K12" s="204"/>
      <c r="L12" s="204"/>
      <c r="M12" s="204"/>
      <c r="N12" s="204"/>
      <c r="O12" s="205"/>
      <c r="P12" s="206"/>
      <c r="Q12" s="206"/>
      <c r="R12" s="207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0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2"/>
      <c r="AR12" s="203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20"/>
    </row>
    <row r="13" spans="1:74">
      <c r="A13" s="103">
        <f t="shared" ref="A13:A22" si="1">ROW()-3</f>
        <v>10</v>
      </c>
      <c r="B13" s="195"/>
      <c r="C13" s="196"/>
      <c r="D13" s="196"/>
      <c r="E13" s="196"/>
      <c r="F13" s="197"/>
      <c r="G13" s="204"/>
      <c r="H13" s="204"/>
      <c r="I13" s="204"/>
      <c r="J13" s="204"/>
      <c r="K13" s="204"/>
      <c r="L13" s="204"/>
      <c r="M13" s="204"/>
      <c r="N13" s="204"/>
      <c r="O13" s="205"/>
      <c r="P13" s="206"/>
      <c r="Q13" s="206"/>
      <c r="R13" s="207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0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2"/>
      <c r="AR13" s="203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20"/>
    </row>
    <row r="14" spans="1:74">
      <c r="A14" s="103">
        <f t="shared" si="1"/>
        <v>11</v>
      </c>
      <c r="B14" s="195"/>
      <c r="C14" s="196"/>
      <c r="D14" s="196"/>
      <c r="E14" s="196"/>
      <c r="F14" s="197"/>
      <c r="G14" s="204"/>
      <c r="H14" s="204"/>
      <c r="I14" s="204"/>
      <c r="J14" s="204"/>
      <c r="K14" s="204"/>
      <c r="L14" s="204"/>
      <c r="M14" s="204"/>
      <c r="N14" s="204"/>
      <c r="O14" s="205"/>
      <c r="P14" s="206"/>
      <c r="Q14" s="206"/>
      <c r="R14" s="207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0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2"/>
      <c r="AR14" s="203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20"/>
    </row>
    <row r="15" spans="1:74">
      <c r="A15" s="103">
        <f t="shared" si="1"/>
        <v>12</v>
      </c>
      <c r="B15" s="195"/>
      <c r="C15" s="196"/>
      <c r="D15" s="196"/>
      <c r="E15" s="196"/>
      <c r="F15" s="197"/>
      <c r="G15" s="204"/>
      <c r="H15" s="204"/>
      <c r="I15" s="204"/>
      <c r="J15" s="204"/>
      <c r="K15" s="204"/>
      <c r="L15" s="204"/>
      <c r="M15" s="204"/>
      <c r="N15" s="204"/>
      <c r="O15" s="205"/>
      <c r="P15" s="206"/>
      <c r="Q15" s="206"/>
      <c r="R15" s="207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0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2"/>
      <c r="AR15" s="203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20"/>
    </row>
    <row r="16" spans="1:74">
      <c r="A16" s="103">
        <f t="shared" si="1"/>
        <v>13</v>
      </c>
      <c r="B16" s="195"/>
      <c r="C16" s="196"/>
      <c r="D16" s="196"/>
      <c r="E16" s="196"/>
      <c r="F16" s="197"/>
      <c r="G16" s="204"/>
      <c r="H16" s="204"/>
      <c r="I16" s="204"/>
      <c r="J16" s="204"/>
      <c r="K16" s="204"/>
      <c r="L16" s="204"/>
      <c r="M16" s="204"/>
      <c r="N16" s="204"/>
      <c r="O16" s="205"/>
      <c r="P16" s="206"/>
      <c r="Q16" s="206"/>
      <c r="R16" s="207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0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2"/>
      <c r="AR16" s="203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20"/>
    </row>
    <row r="17" spans="1:64">
      <c r="A17" s="103">
        <f t="shared" si="1"/>
        <v>14</v>
      </c>
      <c r="B17" s="195"/>
      <c r="C17" s="196"/>
      <c r="D17" s="196"/>
      <c r="E17" s="196"/>
      <c r="F17" s="197"/>
      <c r="G17" s="204"/>
      <c r="H17" s="204"/>
      <c r="I17" s="204"/>
      <c r="J17" s="204"/>
      <c r="K17" s="204"/>
      <c r="L17" s="204"/>
      <c r="M17" s="204"/>
      <c r="N17" s="204"/>
      <c r="O17" s="205"/>
      <c r="P17" s="206"/>
      <c r="Q17" s="206"/>
      <c r="R17" s="207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0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2"/>
      <c r="AR17" s="203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20"/>
    </row>
    <row r="18" spans="1:64">
      <c r="A18" s="103">
        <f t="shared" si="1"/>
        <v>15</v>
      </c>
      <c r="B18" s="195"/>
      <c r="C18" s="196"/>
      <c r="D18" s="196"/>
      <c r="E18" s="196"/>
      <c r="F18" s="197"/>
      <c r="G18" s="204"/>
      <c r="H18" s="204"/>
      <c r="I18" s="204"/>
      <c r="J18" s="204"/>
      <c r="K18" s="204"/>
      <c r="L18" s="204"/>
      <c r="M18" s="204"/>
      <c r="N18" s="204"/>
      <c r="O18" s="205"/>
      <c r="P18" s="206"/>
      <c r="Q18" s="206"/>
      <c r="R18" s="207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0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2"/>
      <c r="AR18" s="203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20"/>
    </row>
    <row r="19" spans="1:64">
      <c r="A19" s="103">
        <f t="shared" si="1"/>
        <v>16</v>
      </c>
      <c r="B19" s="195"/>
      <c r="C19" s="196"/>
      <c r="D19" s="196"/>
      <c r="E19" s="196"/>
      <c r="F19" s="197"/>
      <c r="G19" s="204"/>
      <c r="H19" s="204"/>
      <c r="I19" s="204"/>
      <c r="J19" s="204"/>
      <c r="K19" s="204"/>
      <c r="L19" s="204"/>
      <c r="M19" s="204"/>
      <c r="N19" s="204"/>
      <c r="O19" s="205"/>
      <c r="P19" s="206"/>
      <c r="Q19" s="206"/>
      <c r="R19" s="207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0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2"/>
      <c r="AR19" s="203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20"/>
    </row>
    <row r="20" spans="1:64">
      <c r="A20" s="103">
        <f t="shared" si="1"/>
        <v>17</v>
      </c>
      <c r="B20" s="195"/>
      <c r="C20" s="196"/>
      <c r="D20" s="196"/>
      <c r="E20" s="196"/>
      <c r="F20" s="197"/>
      <c r="G20" s="204"/>
      <c r="H20" s="204"/>
      <c r="I20" s="204"/>
      <c r="J20" s="204"/>
      <c r="K20" s="204"/>
      <c r="L20" s="204"/>
      <c r="M20" s="204"/>
      <c r="N20" s="204"/>
      <c r="O20" s="205"/>
      <c r="P20" s="206"/>
      <c r="Q20" s="206"/>
      <c r="R20" s="207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0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2"/>
      <c r="AR20" s="203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20"/>
    </row>
    <row r="21" spans="1:64">
      <c r="A21" s="103">
        <f t="shared" si="1"/>
        <v>18</v>
      </c>
      <c r="B21" s="195"/>
      <c r="C21" s="196"/>
      <c r="D21" s="196"/>
      <c r="E21" s="196"/>
      <c r="F21" s="197"/>
      <c r="G21" s="204"/>
      <c r="H21" s="204"/>
      <c r="I21" s="204"/>
      <c r="J21" s="204"/>
      <c r="K21" s="204"/>
      <c r="L21" s="204"/>
      <c r="M21" s="204"/>
      <c r="N21" s="204"/>
      <c r="O21" s="205"/>
      <c r="P21" s="206"/>
      <c r="Q21" s="206"/>
      <c r="R21" s="207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0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2"/>
      <c r="AR21" s="203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20"/>
    </row>
    <row r="22" spans="1:64">
      <c r="A22" s="103">
        <f t="shared" si="1"/>
        <v>19</v>
      </c>
      <c r="B22" s="195"/>
      <c r="C22" s="196"/>
      <c r="D22" s="196"/>
      <c r="E22" s="196"/>
      <c r="F22" s="197"/>
      <c r="G22" s="204"/>
      <c r="H22" s="204"/>
      <c r="I22" s="204"/>
      <c r="J22" s="204"/>
      <c r="K22" s="204"/>
      <c r="L22" s="204"/>
      <c r="M22" s="204"/>
      <c r="N22" s="204"/>
      <c r="O22" s="205"/>
      <c r="P22" s="206"/>
      <c r="Q22" s="206"/>
      <c r="R22" s="207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0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2"/>
      <c r="AR22" s="203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20"/>
    </row>
    <row r="23" spans="1:64">
      <c r="A23" s="103">
        <f t="shared" ref="A23:A34" si="2">ROW()-3</f>
        <v>20</v>
      </c>
      <c r="B23" s="195"/>
      <c r="C23" s="196"/>
      <c r="D23" s="196"/>
      <c r="E23" s="196"/>
      <c r="F23" s="197"/>
      <c r="G23" s="204"/>
      <c r="H23" s="204"/>
      <c r="I23" s="204"/>
      <c r="J23" s="204"/>
      <c r="K23" s="204"/>
      <c r="L23" s="204"/>
      <c r="M23" s="204"/>
      <c r="N23" s="204"/>
      <c r="O23" s="205"/>
      <c r="P23" s="206"/>
      <c r="Q23" s="206"/>
      <c r="R23" s="207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0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2"/>
      <c r="AR23" s="203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20"/>
    </row>
    <row r="24" spans="1:64">
      <c r="A24" s="103">
        <f t="shared" si="2"/>
        <v>21</v>
      </c>
      <c r="B24" s="195"/>
      <c r="C24" s="196"/>
      <c r="D24" s="196"/>
      <c r="E24" s="196"/>
      <c r="F24" s="197"/>
      <c r="G24" s="204"/>
      <c r="H24" s="204"/>
      <c r="I24" s="204"/>
      <c r="J24" s="204"/>
      <c r="K24" s="204"/>
      <c r="L24" s="204"/>
      <c r="M24" s="204"/>
      <c r="N24" s="204"/>
      <c r="O24" s="205"/>
      <c r="P24" s="206"/>
      <c r="Q24" s="206"/>
      <c r="R24" s="207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0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2"/>
      <c r="AR24" s="203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20"/>
    </row>
    <row r="25" spans="1:64">
      <c r="A25" s="103">
        <f t="shared" si="2"/>
        <v>22</v>
      </c>
      <c r="B25" s="195"/>
      <c r="C25" s="196"/>
      <c r="D25" s="196"/>
      <c r="E25" s="196"/>
      <c r="F25" s="197"/>
      <c r="G25" s="204"/>
      <c r="H25" s="204"/>
      <c r="I25" s="204"/>
      <c r="J25" s="204"/>
      <c r="K25" s="204"/>
      <c r="L25" s="204"/>
      <c r="M25" s="204"/>
      <c r="N25" s="204"/>
      <c r="O25" s="205"/>
      <c r="P25" s="206"/>
      <c r="Q25" s="206"/>
      <c r="R25" s="207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0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2"/>
      <c r="AR25" s="203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20"/>
    </row>
    <row r="26" spans="1:64">
      <c r="A26" s="103">
        <f t="shared" si="2"/>
        <v>23</v>
      </c>
      <c r="B26" s="195"/>
      <c r="C26" s="196"/>
      <c r="D26" s="196"/>
      <c r="E26" s="196"/>
      <c r="F26" s="197"/>
      <c r="G26" s="204"/>
      <c r="H26" s="204"/>
      <c r="I26" s="204"/>
      <c r="J26" s="204"/>
      <c r="K26" s="204"/>
      <c r="L26" s="204"/>
      <c r="M26" s="204"/>
      <c r="N26" s="204"/>
      <c r="O26" s="205"/>
      <c r="P26" s="206"/>
      <c r="Q26" s="206"/>
      <c r="R26" s="207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0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2"/>
      <c r="AR26" s="203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20"/>
    </row>
    <row r="27" spans="1:64">
      <c r="A27" s="103">
        <f t="shared" si="2"/>
        <v>24</v>
      </c>
      <c r="B27" s="195"/>
      <c r="C27" s="196"/>
      <c r="D27" s="196"/>
      <c r="E27" s="196"/>
      <c r="F27" s="197"/>
      <c r="G27" s="204"/>
      <c r="H27" s="204"/>
      <c r="I27" s="204"/>
      <c r="J27" s="204"/>
      <c r="K27" s="204"/>
      <c r="L27" s="204"/>
      <c r="M27" s="204"/>
      <c r="N27" s="204"/>
      <c r="O27" s="205"/>
      <c r="P27" s="206"/>
      <c r="Q27" s="206"/>
      <c r="R27" s="207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0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2"/>
      <c r="AR27" s="203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20"/>
    </row>
    <row r="28" spans="1:64">
      <c r="A28" s="103">
        <f t="shared" si="2"/>
        <v>25</v>
      </c>
      <c r="B28" s="195"/>
      <c r="C28" s="196"/>
      <c r="D28" s="196"/>
      <c r="E28" s="196"/>
      <c r="F28" s="197"/>
      <c r="G28" s="204"/>
      <c r="H28" s="204"/>
      <c r="I28" s="204"/>
      <c r="J28" s="204"/>
      <c r="K28" s="204"/>
      <c r="L28" s="204"/>
      <c r="M28" s="204"/>
      <c r="N28" s="204"/>
      <c r="O28" s="205"/>
      <c r="P28" s="206"/>
      <c r="Q28" s="206"/>
      <c r="R28" s="207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0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2"/>
      <c r="AR28" s="203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20"/>
    </row>
    <row r="29" spans="1:64">
      <c r="A29" s="103">
        <f t="shared" si="2"/>
        <v>26</v>
      </c>
      <c r="B29" s="195"/>
      <c r="C29" s="196"/>
      <c r="D29" s="196"/>
      <c r="E29" s="196"/>
      <c r="F29" s="197"/>
      <c r="G29" s="204"/>
      <c r="H29" s="204"/>
      <c r="I29" s="204"/>
      <c r="J29" s="204"/>
      <c r="K29" s="204"/>
      <c r="L29" s="204"/>
      <c r="M29" s="204"/>
      <c r="N29" s="204"/>
      <c r="O29" s="205"/>
      <c r="P29" s="206"/>
      <c r="Q29" s="206"/>
      <c r="R29" s="207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0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2"/>
      <c r="AR29" s="203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20"/>
    </row>
    <row r="30" spans="1:64">
      <c r="A30" s="103">
        <f t="shared" si="2"/>
        <v>27</v>
      </c>
      <c r="B30" s="195"/>
      <c r="C30" s="196"/>
      <c r="D30" s="196"/>
      <c r="E30" s="196"/>
      <c r="F30" s="197"/>
      <c r="G30" s="204"/>
      <c r="H30" s="204"/>
      <c r="I30" s="204"/>
      <c r="J30" s="204"/>
      <c r="K30" s="204"/>
      <c r="L30" s="204"/>
      <c r="M30" s="204"/>
      <c r="N30" s="204"/>
      <c r="O30" s="205"/>
      <c r="P30" s="206"/>
      <c r="Q30" s="206"/>
      <c r="R30" s="207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0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2"/>
      <c r="AR30" s="203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20"/>
    </row>
    <row r="31" spans="1:64">
      <c r="A31" s="103">
        <f t="shared" si="2"/>
        <v>28</v>
      </c>
      <c r="B31" s="195"/>
      <c r="C31" s="196"/>
      <c r="D31" s="196"/>
      <c r="E31" s="196"/>
      <c r="F31" s="197"/>
      <c r="G31" s="204"/>
      <c r="H31" s="204"/>
      <c r="I31" s="204"/>
      <c r="J31" s="204"/>
      <c r="K31" s="204"/>
      <c r="L31" s="204"/>
      <c r="M31" s="204"/>
      <c r="N31" s="204"/>
      <c r="O31" s="205"/>
      <c r="P31" s="206"/>
      <c r="Q31" s="206"/>
      <c r="R31" s="207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0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2"/>
      <c r="AR31" s="203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20"/>
    </row>
    <row r="32" spans="1:64">
      <c r="A32" s="103">
        <f t="shared" si="2"/>
        <v>29</v>
      </c>
      <c r="B32" s="195"/>
      <c r="C32" s="196"/>
      <c r="D32" s="196"/>
      <c r="E32" s="196"/>
      <c r="F32" s="197"/>
      <c r="G32" s="204"/>
      <c r="H32" s="204"/>
      <c r="I32" s="204"/>
      <c r="J32" s="204"/>
      <c r="K32" s="204"/>
      <c r="L32" s="204"/>
      <c r="M32" s="204"/>
      <c r="N32" s="204"/>
      <c r="O32" s="205"/>
      <c r="P32" s="206"/>
      <c r="Q32" s="206"/>
      <c r="R32" s="207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0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2"/>
      <c r="AR32" s="203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20"/>
    </row>
    <row r="33" spans="1:64">
      <c r="A33" s="103">
        <f t="shared" si="2"/>
        <v>30</v>
      </c>
      <c r="B33" s="195"/>
      <c r="C33" s="196"/>
      <c r="D33" s="196"/>
      <c r="E33" s="196"/>
      <c r="F33" s="197"/>
      <c r="G33" s="204"/>
      <c r="H33" s="204"/>
      <c r="I33" s="204"/>
      <c r="J33" s="204"/>
      <c r="K33" s="204"/>
      <c r="L33" s="204"/>
      <c r="M33" s="204"/>
      <c r="N33" s="204"/>
      <c r="O33" s="205"/>
      <c r="P33" s="206"/>
      <c r="Q33" s="206"/>
      <c r="R33" s="207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0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2"/>
      <c r="AR33" s="203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20"/>
    </row>
    <row r="34" spans="1:64">
      <c r="A34" s="103">
        <f t="shared" si="2"/>
        <v>31</v>
      </c>
      <c r="B34" s="195"/>
      <c r="C34" s="196"/>
      <c r="D34" s="196"/>
      <c r="E34" s="196"/>
      <c r="F34" s="197"/>
      <c r="G34" s="204"/>
      <c r="H34" s="204"/>
      <c r="I34" s="204"/>
      <c r="J34" s="204"/>
      <c r="K34" s="204"/>
      <c r="L34" s="204"/>
      <c r="M34" s="204"/>
      <c r="N34" s="204"/>
      <c r="O34" s="205"/>
      <c r="P34" s="206"/>
      <c r="Q34" s="206"/>
      <c r="R34" s="207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0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2"/>
      <c r="AR34" s="203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20"/>
    </row>
  </sheetData>
  <mergeCells count="198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B5:F5"/>
    <mergeCell ref="G5:N5"/>
    <mergeCell ref="O5:R5"/>
    <mergeCell ref="S5:AE5"/>
    <mergeCell ref="AF5:AQ5"/>
    <mergeCell ref="AR5:BL5"/>
    <mergeCell ref="B6:F6"/>
    <mergeCell ref="G6:N6"/>
    <mergeCell ref="O6:R6"/>
    <mergeCell ref="S6:AE6"/>
    <mergeCell ref="AF6:AQ6"/>
    <mergeCell ref="AR6:BL6"/>
    <mergeCell ref="B7:F7"/>
    <mergeCell ref="G7:N7"/>
    <mergeCell ref="O7:R7"/>
    <mergeCell ref="S7:AE7"/>
    <mergeCell ref="AF7:AQ7"/>
    <mergeCell ref="AR7:BL7"/>
    <mergeCell ref="B8:F8"/>
    <mergeCell ref="G8:N8"/>
    <mergeCell ref="O8:R8"/>
    <mergeCell ref="S8:AE8"/>
    <mergeCell ref="AF8:AQ8"/>
    <mergeCell ref="AR8:BL8"/>
    <mergeCell ref="B9:F9"/>
    <mergeCell ref="G9:N9"/>
    <mergeCell ref="O9:R9"/>
    <mergeCell ref="S9:AE9"/>
    <mergeCell ref="AF9:AQ9"/>
    <mergeCell ref="AR9:BL9"/>
    <mergeCell ref="B10:F10"/>
    <mergeCell ref="G10:N10"/>
    <mergeCell ref="O10:R10"/>
    <mergeCell ref="S10:AE10"/>
    <mergeCell ref="AF10:AQ10"/>
    <mergeCell ref="AR10:BL10"/>
    <mergeCell ref="B11:F11"/>
    <mergeCell ref="G11:N11"/>
    <mergeCell ref="O11:R11"/>
    <mergeCell ref="S11:AE11"/>
    <mergeCell ref="AF11:AQ11"/>
    <mergeCell ref="AR11:BL11"/>
    <mergeCell ref="B12:F12"/>
    <mergeCell ref="G12:N12"/>
    <mergeCell ref="O12:R12"/>
    <mergeCell ref="S12:AE12"/>
    <mergeCell ref="AF12:AQ12"/>
    <mergeCell ref="AR12:BL12"/>
    <mergeCell ref="B13:F13"/>
    <mergeCell ref="G13:N13"/>
    <mergeCell ref="O13:R13"/>
    <mergeCell ref="S13:AE13"/>
    <mergeCell ref="AF13:AQ13"/>
    <mergeCell ref="AR13:BL13"/>
    <mergeCell ref="B14:F14"/>
    <mergeCell ref="G14:N14"/>
    <mergeCell ref="O14:R14"/>
    <mergeCell ref="S14:AE14"/>
    <mergeCell ref="AF14:AQ14"/>
    <mergeCell ref="AR14:BL14"/>
    <mergeCell ref="B15:F15"/>
    <mergeCell ref="G15:N15"/>
    <mergeCell ref="O15:R15"/>
    <mergeCell ref="S15:AE15"/>
    <mergeCell ref="AF15:AQ15"/>
    <mergeCell ref="AR15:BL15"/>
    <mergeCell ref="B16:F16"/>
    <mergeCell ref="G16:N16"/>
    <mergeCell ref="O16:R16"/>
    <mergeCell ref="S16:AE16"/>
    <mergeCell ref="AF16:AQ16"/>
    <mergeCell ref="AR16:BL16"/>
    <mergeCell ref="B17:F17"/>
    <mergeCell ref="G17:N17"/>
    <mergeCell ref="O17:R17"/>
    <mergeCell ref="S17:AE17"/>
    <mergeCell ref="AF17:AQ17"/>
    <mergeCell ref="AR17:BL17"/>
    <mergeCell ref="B18:F18"/>
    <mergeCell ref="G18:N18"/>
    <mergeCell ref="O18:R18"/>
    <mergeCell ref="S18:AE18"/>
    <mergeCell ref="AF18:AQ18"/>
    <mergeCell ref="AR18:BL18"/>
    <mergeCell ref="B19:F19"/>
    <mergeCell ref="G19:N19"/>
    <mergeCell ref="O19:R19"/>
    <mergeCell ref="S19:AE19"/>
    <mergeCell ref="AF19:AQ19"/>
    <mergeCell ref="AR19:BL19"/>
    <mergeCell ref="B20:F20"/>
    <mergeCell ref="G20:N20"/>
    <mergeCell ref="O20:R20"/>
    <mergeCell ref="S20:AE20"/>
    <mergeCell ref="AF20:AQ20"/>
    <mergeCell ref="AR20:BL20"/>
    <mergeCell ref="B21:F21"/>
    <mergeCell ref="G21:N21"/>
    <mergeCell ref="O21:R21"/>
    <mergeCell ref="S21:AE21"/>
    <mergeCell ref="AF21:AQ21"/>
    <mergeCell ref="AR21:BL21"/>
    <mergeCell ref="B22:F22"/>
    <mergeCell ref="G22:N22"/>
    <mergeCell ref="O22:R22"/>
    <mergeCell ref="S22:AE22"/>
    <mergeCell ref="AF22:AQ22"/>
    <mergeCell ref="AR22:BL22"/>
    <mergeCell ref="B23:F23"/>
    <mergeCell ref="G23:N23"/>
    <mergeCell ref="O23:R23"/>
    <mergeCell ref="S23:AE23"/>
    <mergeCell ref="AF23:AQ23"/>
    <mergeCell ref="AR23:BL23"/>
    <mergeCell ref="B24:F24"/>
    <mergeCell ref="G24:N24"/>
    <mergeCell ref="O24:R24"/>
    <mergeCell ref="S24:AE24"/>
    <mergeCell ref="AF24:AQ24"/>
    <mergeCell ref="AR24:BL24"/>
    <mergeCell ref="B25:F25"/>
    <mergeCell ref="G25:N25"/>
    <mergeCell ref="O25:R25"/>
    <mergeCell ref="S25:AE25"/>
    <mergeCell ref="AF25:AQ25"/>
    <mergeCell ref="AR25:BL25"/>
    <mergeCell ref="B26:F26"/>
    <mergeCell ref="G26:N26"/>
    <mergeCell ref="O26:R26"/>
    <mergeCell ref="S26:AE26"/>
    <mergeCell ref="AF26:AQ26"/>
    <mergeCell ref="AR26:BL26"/>
    <mergeCell ref="B27:F27"/>
    <mergeCell ref="G27:N27"/>
    <mergeCell ref="O27:R27"/>
    <mergeCell ref="S27:AE27"/>
    <mergeCell ref="AF27:AQ27"/>
    <mergeCell ref="AR27:BL27"/>
    <mergeCell ref="B28:F28"/>
    <mergeCell ref="G28:N28"/>
    <mergeCell ref="O28:R28"/>
    <mergeCell ref="S28:AE28"/>
    <mergeCell ref="AF28:AQ28"/>
    <mergeCell ref="AR28:BL28"/>
    <mergeCell ref="B29:F29"/>
    <mergeCell ref="G29:N29"/>
    <mergeCell ref="O29:R29"/>
    <mergeCell ref="S29:AE29"/>
    <mergeCell ref="AF29:AQ29"/>
    <mergeCell ref="AR29:BL29"/>
    <mergeCell ref="B30:F30"/>
    <mergeCell ref="G30:N30"/>
    <mergeCell ref="O30:R30"/>
    <mergeCell ref="S30:AE30"/>
    <mergeCell ref="AF30:AQ30"/>
    <mergeCell ref="AR30:BL30"/>
    <mergeCell ref="B31:F31"/>
    <mergeCell ref="G31:N31"/>
    <mergeCell ref="O31:R31"/>
    <mergeCell ref="S31:AE31"/>
    <mergeCell ref="AF31:AQ31"/>
    <mergeCell ref="AR31:BL31"/>
    <mergeCell ref="B32:F32"/>
    <mergeCell ref="G32:N32"/>
    <mergeCell ref="O32:R32"/>
    <mergeCell ref="S32:AE32"/>
    <mergeCell ref="AF32:AQ32"/>
    <mergeCell ref="AR32:BL32"/>
    <mergeCell ref="B33:F33"/>
    <mergeCell ref="G33:N33"/>
    <mergeCell ref="O33:R33"/>
    <mergeCell ref="S33:AE33"/>
    <mergeCell ref="AF33:AQ33"/>
    <mergeCell ref="AR33:BL33"/>
    <mergeCell ref="B34:F34"/>
    <mergeCell ref="G34:N34"/>
    <mergeCell ref="O34:R34"/>
    <mergeCell ref="S34:AE34"/>
    <mergeCell ref="AF34:AQ34"/>
    <mergeCell ref="AR34:BL34"/>
  </mergeCell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36"/>
  <sheetViews>
    <sheetView showGridLines="0" view="pageBreakPreview" zoomScaleNormal="100" workbookViewId="0">
      <pane ySplit="3" topLeftCell="A4" activePane="bottomLeft" state="frozen"/>
      <selection/>
      <selection pane="bottomLeft" activeCell="BA1" sqref="BA1:BV2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78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管理者情報取得API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FN1009_004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42</v>
      </c>
      <c r="BB1" s="7"/>
      <c r="BC1" s="7"/>
      <c r="BD1" s="8"/>
      <c r="BE1" s="9" t="str">
        <f>改訂履歴!O6</f>
        <v>熊</v>
      </c>
      <c r="BF1" s="9"/>
      <c r="BG1" s="9"/>
      <c r="BH1" s="9"/>
      <c r="BI1" s="9"/>
      <c r="BJ1" s="9"/>
      <c r="BK1" s="10"/>
      <c r="BL1" s="6" t="s">
        <v>43</v>
      </c>
      <c r="BM1" s="7"/>
      <c r="BN1" s="7"/>
      <c r="BO1" s="8"/>
      <c r="BP1" s="9">
        <f>改訂履歴!G6</f>
        <v>45680</v>
      </c>
      <c r="BQ1" s="9"/>
      <c r="BR1" s="9"/>
      <c r="BS1" s="9"/>
      <c r="BT1" s="9"/>
      <c r="BU1" s="9"/>
      <c r="BV1" s="10"/>
      <c r="BW1" s="1" t="s">
        <v>59</v>
      </c>
    </row>
    <row r="2" ht="15" spans="1:78">
      <c r="A2" s="11" t="str">
        <f>AQ1&amp;"_"&amp;X1</f>
        <v>FN1009_004_管理者情報取得API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3" t="s">
        <v>44</v>
      </c>
      <c r="T2" s="3"/>
      <c r="U2" s="3"/>
      <c r="V2" s="3"/>
      <c r="W2" s="3"/>
      <c r="X2" s="11" t="str">
        <f>改訂履歴!X2</f>
        <v>/adminList/getUserInfo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3" t="s">
        <v>46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48</v>
      </c>
      <c r="BB2" s="7"/>
      <c r="BC2" s="7"/>
      <c r="BD2" s="8"/>
      <c r="BE2" s="9"/>
      <c r="BF2" s="9"/>
      <c r="BG2" s="9"/>
      <c r="BH2" s="9"/>
      <c r="BI2" s="9"/>
      <c r="BJ2" s="9"/>
      <c r="BK2" s="9"/>
      <c r="BL2" s="6" t="s">
        <v>49</v>
      </c>
      <c r="BM2" s="7"/>
      <c r="BN2" s="7"/>
      <c r="BO2" s="8"/>
      <c r="BP2" s="12"/>
      <c r="BQ2" s="13"/>
      <c r="BR2" s="13"/>
      <c r="BS2" s="13"/>
      <c r="BT2" s="13"/>
      <c r="BU2" s="13"/>
      <c r="BV2" s="14"/>
      <c r="BW2" s="1" t="s">
        <v>60</v>
      </c>
      <c r="BX2" s="15"/>
      <c r="BY2" s="15"/>
      <c r="BZ2" s="15"/>
    </row>
    <row r="3" spans="1:78">
      <c r="A3" s="16"/>
      <c r="BW3" s="1" t="s">
        <v>61</v>
      </c>
    </row>
    <row r="4" spans="1:78">
      <c r="A4" s="17"/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</row>
    <row r="5" spans="1:78">
      <c r="A5" s="178" t="s">
        <v>62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79"/>
      <c r="BL5" s="179"/>
      <c r="BM5" s="179"/>
      <c r="BN5" s="179"/>
      <c r="BO5" s="179"/>
      <c r="BP5" s="179"/>
      <c r="BQ5" s="179"/>
      <c r="BR5" s="179"/>
      <c r="BS5" s="180"/>
    </row>
    <row r="6" spans="1:78">
      <c r="A6" s="181" t="s">
        <v>63</v>
      </c>
      <c r="B6" s="182"/>
      <c r="C6" s="183" t="s">
        <v>64</v>
      </c>
      <c r="D6" s="184"/>
      <c r="E6" s="184"/>
      <c r="F6" s="184"/>
      <c r="G6" s="184"/>
      <c r="H6" s="184"/>
      <c r="I6" s="184"/>
      <c r="J6" s="185"/>
      <c r="K6" s="89" t="s">
        <v>65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26" t="s">
        <v>66</v>
      </c>
      <c r="BS6" s="26"/>
    </row>
    <row r="7" spans="1:78">
      <c r="A7" s="36">
        <v>1</v>
      </c>
      <c r="B7" s="36"/>
      <c r="C7" s="186" t="s">
        <v>67</v>
      </c>
      <c r="D7" s="187"/>
      <c r="E7" s="187"/>
      <c r="F7" s="187"/>
      <c r="G7" s="187"/>
      <c r="H7" s="187"/>
      <c r="I7" s="187"/>
      <c r="J7" s="188"/>
      <c r="K7" s="53" t="s">
        <v>68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36" t="s">
        <v>59</v>
      </c>
      <c r="BS7" s="36"/>
    </row>
    <row r="8" spans="1:78">
      <c r="A8" s="36">
        <v>2</v>
      </c>
      <c r="B8" s="36"/>
      <c r="C8" s="189"/>
      <c r="D8" s="190"/>
      <c r="E8" s="190"/>
      <c r="F8" s="190"/>
      <c r="G8" s="190"/>
      <c r="H8" s="190"/>
      <c r="I8" s="190"/>
      <c r="J8" s="191"/>
      <c r="K8" s="53" t="s">
        <v>69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36" t="s">
        <v>59</v>
      </c>
      <c r="BS8" s="36"/>
    </row>
    <row r="9" spans="1:78">
      <c r="A9" s="36">
        <v>4</v>
      </c>
      <c r="B9" s="36"/>
      <c r="C9" s="186" t="s">
        <v>70</v>
      </c>
      <c r="D9" s="187"/>
      <c r="E9" s="187"/>
      <c r="F9" s="187"/>
      <c r="G9" s="187"/>
      <c r="H9" s="187"/>
      <c r="I9" s="187"/>
      <c r="J9" s="188"/>
      <c r="K9" s="53" t="s">
        <v>71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36" t="s">
        <v>59</v>
      </c>
      <c r="BS9" s="36"/>
    </row>
    <row r="10" spans="1:78">
      <c r="A10" s="36">
        <v>5</v>
      </c>
      <c r="B10" s="36"/>
      <c r="C10" s="189"/>
      <c r="D10" s="190"/>
      <c r="E10" s="190"/>
      <c r="F10" s="190"/>
      <c r="G10" s="190"/>
      <c r="H10" s="190"/>
      <c r="I10" s="190"/>
      <c r="J10" s="191"/>
      <c r="K10" s="53" t="s">
        <v>72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36" t="s">
        <v>59</v>
      </c>
      <c r="BS10" s="36"/>
    </row>
    <row r="11" spans="1:78">
      <c r="A11" s="36">
        <v>6</v>
      </c>
      <c r="B11" s="36"/>
      <c r="C11" s="186" t="s">
        <v>73</v>
      </c>
      <c r="D11" s="187"/>
      <c r="E11" s="187"/>
      <c r="F11" s="187"/>
      <c r="G11" s="187"/>
      <c r="H11" s="187"/>
      <c r="I11" s="187"/>
      <c r="J11" s="188"/>
      <c r="K11" s="53" t="s">
        <v>74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36" t="s">
        <v>59</v>
      </c>
      <c r="BS11" s="36"/>
    </row>
    <row r="12" spans="1:78">
      <c r="A12" s="36">
        <v>7</v>
      </c>
      <c r="B12" s="36"/>
      <c r="C12" s="189"/>
      <c r="D12" s="190"/>
      <c r="E12" s="190"/>
      <c r="F12" s="190"/>
      <c r="G12" s="190"/>
      <c r="H12" s="190"/>
      <c r="I12" s="190"/>
      <c r="J12" s="191"/>
      <c r="K12" s="53" t="s">
        <v>75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36" t="s">
        <v>59</v>
      </c>
      <c r="BS12" s="36"/>
    </row>
    <row r="13" spans="1:78">
      <c r="A13" s="36">
        <v>8</v>
      </c>
      <c r="B13" s="36"/>
      <c r="C13" s="189"/>
      <c r="D13" s="190"/>
      <c r="E13" s="190"/>
      <c r="F13" s="190"/>
      <c r="G13" s="190"/>
      <c r="H13" s="190"/>
      <c r="I13" s="190"/>
      <c r="J13" s="191"/>
      <c r="K13" s="53" t="s">
        <v>76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36" t="s">
        <v>59</v>
      </c>
      <c r="BS13" s="36"/>
    </row>
    <row r="14" spans="1:78">
      <c r="A14" s="36">
        <v>9</v>
      </c>
      <c r="B14" s="36"/>
      <c r="C14" s="189"/>
      <c r="D14" s="190"/>
      <c r="E14" s="190"/>
      <c r="F14" s="190"/>
      <c r="G14" s="190"/>
      <c r="H14" s="190"/>
      <c r="I14" s="190"/>
      <c r="J14" s="191"/>
      <c r="K14" s="53" t="s">
        <v>77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36" t="s">
        <v>59</v>
      </c>
      <c r="BS14" s="36"/>
    </row>
    <row r="15" spans="1:78">
      <c r="A15" s="36">
        <v>10</v>
      </c>
      <c r="B15" s="36"/>
      <c r="C15" s="189"/>
      <c r="D15" s="190"/>
      <c r="E15" s="190"/>
      <c r="F15" s="190"/>
      <c r="G15" s="190"/>
      <c r="H15" s="190"/>
      <c r="I15" s="190"/>
      <c r="J15" s="191"/>
      <c r="K15" s="53" t="s">
        <v>78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36" t="s">
        <v>59</v>
      </c>
      <c r="BS15" s="36"/>
    </row>
    <row r="16" spans="1:78">
      <c r="A16" s="36">
        <v>11</v>
      </c>
      <c r="B16" s="36"/>
      <c r="C16" s="186" t="s">
        <v>79</v>
      </c>
      <c r="D16" s="187"/>
      <c r="E16" s="187"/>
      <c r="F16" s="187"/>
      <c r="G16" s="187"/>
      <c r="H16" s="187"/>
      <c r="I16" s="187"/>
      <c r="J16" s="188"/>
      <c r="K16" s="53" t="s">
        <v>80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36" t="s">
        <v>59</v>
      </c>
      <c r="BS16" s="36"/>
    </row>
    <row r="17" spans="1:74">
      <c r="A17" s="36">
        <v>12</v>
      </c>
      <c r="B17" s="36"/>
      <c r="C17" s="192" t="s">
        <v>81</v>
      </c>
      <c r="D17" s="192"/>
      <c r="E17" s="192"/>
      <c r="F17" s="192"/>
      <c r="G17" s="192"/>
      <c r="H17" s="192"/>
      <c r="I17" s="192"/>
      <c r="J17" s="192"/>
      <c r="K17" s="35" t="s">
        <v>82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36" t="s">
        <v>59</v>
      </c>
      <c r="BS17" s="36"/>
    </row>
    <row r="18" spans="1:74">
      <c r="A18" s="36">
        <v>13</v>
      </c>
      <c r="B18" s="36"/>
      <c r="C18" s="192"/>
      <c r="D18" s="192"/>
      <c r="E18" s="192"/>
      <c r="F18" s="192"/>
      <c r="G18" s="192"/>
      <c r="H18" s="192"/>
      <c r="I18" s="192"/>
      <c r="J18" s="192"/>
      <c r="K18" s="190" t="s">
        <v>83</v>
      </c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36" t="s">
        <v>59</v>
      </c>
      <c r="BS18" s="36"/>
      <c r="BT18" s="66"/>
      <c r="BU18" s="66"/>
      <c r="BV18" s="66"/>
    </row>
    <row r="19" spans="1:74">
      <c r="A19" s="36">
        <v>14</v>
      </c>
      <c r="B19" s="36"/>
      <c r="C19" s="192" t="s">
        <v>84</v>
      </c>
      <c r="D19" s="192"/>
      <c r="E19" s="192"/>
      <c r="F19" s="192"/>
      <c r="G19" s="192"/>
      <c r="H19" s="192"/>
      <c r="I19" s="192"/>
      <c r="J19" s="192"/>
      <c r="K19" s="35" t="s">
        <v>85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36" t="s">
        <v>59</v>
      </c>
      <c r="BS19" s="36"/>
      <c r="BT19" s="66"/>
      <c r="BU19" s="66"/>
      <c r="BV19" s="66"/>
    </row>
    <row r="20" spans="1:74">
      <c r="A20" s="36">
        <v>15</v>
      </c>
      <c r="B20" s="36"/>
      <c r="C20" s="192"/>
      <c r="D20" s="192"/>
      <c r="E20" s="192"/>
      <c r="F20" s="192"/>
      <c r="G20" s="192"/>
      <c r="H20" s="192"/>
      <c r="I20" s="192"/>
      <c r="J20" s="192"/>
      <c r="K20" s="35" t="s">
        <v>86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36" t="s">
        <v>59</v>
      </c>
      <c r="BS20" s="36"/>
      <c r="BT20" s="66"/>
      <c r="BU20" s="66"/>
      <c r="BV20" s="66"/>
    </row>
    <row r="21" spans="1:74">
      <c r="A21" s="36">
        <v>16</v>
      </c>
      <c r="B21" s="36"/>
      <c r="C21" s="192"/>
      <c r="D21" s="192"/>
      <c r="E21" s="192"/>
      <c r="F21" s="192"/>
      <c r="G21" s="192"/>
      <c r="H21" s="192"/>
      <c r="I21" s="192"/>
      <c r="J21" s="192"/>
      <c r="K21" s="35" t="s">
        <v>87</v>
      </c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36" t="s">
        <v>59</v>
      </c>
      <c r="BS21" s="36"/>
      <c r="BT21" s="66"/>
      <c r="BU21" s="66"/>
      <c r="BV21" s="66"/>
    </row>
    <row r="22" spans="1:74">
      <c r="A22" s="36">
        <v>17</v>
      </c>
      <c r="B22" s="36"/>
      <c r="C22" s="186"/>
      <c r="D22" s="187"/>
      <c r="E22" s="187"/>
      <c r="F22" s="187"/>
      <c r="G22" s="187"/>
      <c r="H22" s="187"/>
      <c r="I22" s="187"/>
      <c r="J22" s="188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36"/>
      <c r="BS22" s="36"/>
      <c r="BT22" s="66"/>
      <c r="BU22" s="66"/>
      <c r="BV22" s="66"/>
    </row>
    <row r="23" spans="1:74">
      <c r="A23" s="36">
        <v>18</v>
      </c>
      <c r="B23" s="36"/>
      <c r="C23" s="186"/>
      <c r="D23" s="187"/>
      <c r="E23" s="187"/>
      <c r="F23" s="187"/>
      <c r="G23" s="187"/>
      <c r="H23" s="187"/>
      <c r="I23" s="187"/>
      <c r="J23" s="188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36"/>
      <c r="BS23" s="36"/>
      <c r="BT23" s="66"/>
      <c r="BU23" s="66"/>
      <c r="BV23" s="66"/>
    </row>
    <row r="24" spans="1:74">
      <c r="A24" s="36">
        <v>19</v>
      </c>
      <c r="B24" s="36"/>
      <c r="C24" s="186"/>
      <c r="D24" s="187"/>
      <c r="E24" s="187"/>
      <c r="F24" s="187"/>
      <c r="G24" s="187"/>
      <c r="H24" s="187"/>
      <c r="I24" s="187"/>
      <c r="J24" s="188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36"/>
      <c r="BS24" s="36"/>
      <c r="BT24" s="66"/>
      <c r="BU24" s="66"/>
      <c r="BV24" s="66"/>
    </row>
    <row r="25" spans="1:74">
      <c r="A25" s="36">
        <v>20</v>
      </c>
      <c r="B25" s="36"/>
      <c r="C25" s="186"/>
      <c r="D25" s="187"/>
      <c r="E25" s="187"/>
      <c r="F25" s="187"/>
      <c r="G25" s="187"/>
      <c r="H25" s="187"/>
      <c r="I25" s="187"/>
      <c r="J25" s="188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36"/>
      <c r="BS25" s="36"/>
      <c r="BT25" s="66"/>
      <c r="BU25" s="66"/>
      <c r="BV25" s="66"/>
    </row>
    <row r="26" spans="1:74">
      <c r="A26" s="36">
        <v>21</v>
      </c>
      <c r="B26" s="36"/>
      <c r="C26" s="186"/>
      <c r="D26" s="187"/>
      <c r="E26" s="187"/>
      <c r="F26" s="187"/>
      <c r="G26" s="187"/>
      <c r="H26" s="187"/>
      <c r="I26" s="187"/>
      <c r="J26" s="188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36"/>
      <c r="BS26" s="36"/>
      <c r="BT26" s="66"/>
      <c r="BU26" s="66"/>
      <c r="BV26" s="66"/>
    </row>
    <row r="27" spans="1:74">
      <c r="A27" s="36">
        <v>22</v>
      </c>
      <c r="B27" s="36"/>
      <c r="C27" s="186"/>
      <c r="D27" s="187"/>
      <c r="E27" s="187"/>
      <c r="F27" s="187"/>
      <c r="G27" s="187"/>
      <c r="H27" s="187"/>
      <c r="I27" s="187"/>
      <c r="J27" s="188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36"/>
      <c r="BS27" s="36"/>
      <c r="BT27" s="66"/>
      <c r="BU27" s="66"/>
      <c r="BV27" s="66"/>
    </row>
    <row r="28" spans="1:74">
      <c r="A28" s="36">
        <v>23</v>
      </c>
      <c r="B28" s="36"/>
      <c r="C28" s="186"/>
      <c r="D28" s="187"/>
      <c r="E28" s="187"/>
      <c r="F28" s="187"/>
      <c r="G28" s="187"/>
      <c r="H28" s="187"/>
      <c r="I28" s="187"/>
      <c r="J28" s="188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36"/>
      <c r="BS28" s="36"/>
      <c r="BT28" s="66"/>
      <c r="BU28" s="66"/>
      <c r="BV28" s="66"/>
    </row>
    <row r="29" spans="1:74">
      <c r="A29" s="36">
        <v>24</v>
      </c>
      <c r="B29" s="36"/>
      <c r="C29" s="186"/>
      <c r="D29" s="187"/>
      <c r="E29" s="187"/>
      <c r="F29" s="187"/>
      <c r="G29" s="187"/>
      <c r="H29" s="187"/>
      <c r="I29" s="187"/>
      <c r="J29" s="188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36"/>
      <c r="BS29" s="36"/>
      <c r="BT29" s="66"/>
      <c r="BU29" s="66"/>
      <c r="BV29" s="66"/>
    </row>
    <row r="30" spans="1:74">
      <c r="A30" s="36">
        <v>25</v>
      </c>
      <c r="B30" s="36"/>
      <c r="C30" s="186"/>
      <c r="D30" s="187"/>
      <c r="E30" s="187"/>
      <c r="F30" s="187"/>
      <c r="G30" s="187"/>
      <c r="H30" s="187"/>
      <c r="I30" s="187"/>
      <c r="J30" s="188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36"/>
      <c r="BS30" s="36"/>
      <c r="BT30" s="66"/>
      <c r="BU30" s="66"/>
      <c r="BV30" s="66"/>
    </row>
    <row r="31" spans="1:74">
      <c r="A31" s="36">
        <v>26</v>
      </c>
      <c r="B31" s="36"/>
      <c r="C31" s="186"/>
      <c r="D31" s="187"/>
      <c r="E31" s="187"/>
      <c r="F31" s="187"/>
      <c r="G31" s="187"/>
      <c r="H31" s="187"/>
      <c r="I31" s="187"/>
      <c r="J31" s="188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36"/>
      <c r="BS31" s="36"/>
      <c r="BT31" s="66"/>
      <c r="BU31" s="66"/>
      <c r="BV31" s="66"/>
    </row>
    <row r="32" spans="1:74">
      <c r="A32" s="36">
        <v>27</v>
      </c>
      <c r="B32" s="36"/>
      <c r="C32" s="186"/>
      <c r="D32" s="187"/>
      <c r="E32" s="187"/>
      <c r="F32" s="187"/>
      <c r="G32" s="187"/>
      <c r="H32" s="187"/>
      <c r="I32" s="187"/>
      <c r="J32" s="188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36"/>
      <c r="BS32" s="36"/>
      <c r="BT32" s="66"/>
      <c r="BU32" s="66"/>
      <c r="BV32" s="66"/>
    </row>
    <row r="33" spans="1:74">
      <c r="A33" s="36">
        <v>28</v>
      </c>
      <c r="B33" s="36"/>
      <c r="C33" s="186"/>
      <c r="D33" s="187"/>
      <c r="E33" s="187"/>
      <c r="F33" s="187"/>
      <c r="G33" s="187"/>
      <c r="H33" s="187"/>
      <c r="I33" s="187"/>
      <c r="J33" s="188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36"/>
      <c r="BS33" s="36"/>
      <c r="BT33" s="66"/>
      <c r="BU33" s="66"/>
      <c r="BV33" s="66"/>
    </row>
    <row r="34" spans="1:74">
      <c r="A34" s="36">
        <v>29</v>
      </c>
      <c r="B34" s="36"/>
      <c r="C34" s="186"/>
      <c r="D34" s="187"/>
      <c r="E34" s="187"/>
      <c r="F34" s="187"/>
      <c r="G34" s="187"/>
      <c r="H34" s="187"/>
      <c r="I34" s="187"/>
      <c r="J34" s="188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36"/>
      <c r="BS34" s="36"/>
      <c r="BT34" s="66"/>
      <c r="BU34" s="66"/>
      <c r="BV34" s="66"/>
    </row>
    <row r="35" spans="1:74">
      <c r="A35" s="36">
        <v>30</v>
      </c>
      <c r="B35" s="36"/>
      <c r="C35" s="186"/>
      <c r="D35" s="187"/>
      <c r="E35" s="187"/>
      <c r="F35" s="187"/>
      <c r="G35" s="187"/>
      <c r="H35" s="187"/>
      <c r="I35" s="187"/>
      <c r="J35" s="188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36"/>
      <c r="BS35" s="36"/>
      <c r="BT35" s="66"/>
      <c r="BU35" s="66"/>
      <c r="BV35" s="66"/>
    </row>
    <row r="36" spans="1:74">
      <c r="A36" s="36">
        <v>31</v>
      </c>
      <c r="B36" s="36"/>
      <c r="C36" s="192"/>
      <c r="D36" s="192"/>
      <c r="E36" s="192"/>
      <c r="F36" s="192"/>
      <c r="G36" s="192"/>
      <c r="H36" s="192"/>
      <c r="I36" s="192"/>
      <c r="J36" s="192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36"/>
      <c r="BS36" s="36"/>
    </row>
  </sheetData>
  <mergeCells count="138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BS5"/>
    <mergeCell ref="A6:B6"/>
    <mergeCell ref="C6:J6"/>
    <mergeCell ref="K6:BQ6"/>
    <mergeCell ref="BR6:BS6"/>
    <mergeCell ref="A7:B7"/>
    <mergeCell ref="K7:BQ7"/>
    <mergeCell ref="BR7:BS7"/>
    <mergeCell ref="A8:B8"/>
    <mergeCell ref="K8:BQ8"/>
    <mergeCell ref="BR8:BS8"/>
    <mergeCell ref="A9:B9"/>
    <mergeCell ref="K9:BQ9"/>
    <mergeCell ref="BR9:BS9"/>
    <mergeCell ref="A10:B10"/>
    <mergeCell ref="K10:BQ10"/>
    <mergeCell ref="BR10:BS10"/>
    <mergeCell ref="A11:B11"/>
    <mergeCell ref="K11:BQ11"/>
    <mergeCell ref="BR11:BS11"/>
    <mergeCell ref="A12:B12"/>
    <mergeCell ref="K12:BQ12"/>
    <mergeCell ref="BR12:BS12"/>
    <mergeCell ref="A13:B13"/>
    <mergeCell ref="K13:BQ13"/>
    <mergeCell ref="BR13:BS13"/>
    <mergeCell ref="A14:B14"/>
    <mergeCell ref="K14:BQ14"/>
    <mergeCell ref="BR14:BS14"/>
    <mergeCell ref="A15:B15"/>
    <mergeCell ref="K15:BQ15"/>
    <mergeCell ref="BR15:BS15"/>
    <mergeCell ref="A16:B16"/>
    <mergeCell ref="C16:J16"/>
    <mergeCell ref="K16:BQ16"/>
    <mergeCell ref="BR16:BS16"/>
    <mergeCell ref="A17:B17"/>
    <mergeCell ref="K17:BQ17"/>
    <mergeCell ref="BR17:BS17"/>
    <mergeCell ref="A18:B18"/>
    <mergeCell ref="K18:BQ18"/>
    <mergeCell ref="BR18:BS18"/>
    <mergeCell ref="A19:B19"/>
    <mergeCell ref="K19:BQ19"/>
    <mergeCell ref="BR19:BS19"/>
    <mergeCell ref="A20:B20"/>
    <mergeCell ref="K20:BQ20"/>
    <mergeCell ref="BR20:BS20"/>
    <mergeCell ref="A21:B21"/>
    <mergeCell ref="K21:BQ21"/>
    <mergeCell ref="BR21:BS21"/>
    <mergeCell ref="A22:B22"/>
    <mergeCell ref="C22:J22"/>
    <mergeCell ref="K22:BQ22"/>
    <mergeCell ref="BR22:BS22"/>
    <mergeCell ref="A23:B23"/>
    <mergeCell ref="C23:J23"/>
    <mergeCell ref="K23:BQ23"/>
    <mergeCell ref="BR23:BS23"/>
    <mergeCell ref="A24:B24"/>
    <mergeCell ref="C24:J24"/>
    <mergeCell ref="K24:BQ24"/>
    <mergeCell ref="BR24:BS24"/>
    <mergeCell ref="A25:B25"/>
    <mergeCell ref="C25:J25"/>
    <mergeCell ref="K25:BQ25"/>
    <mergeCell ref="BR25:BS25"/>
    <mergeCell ref="A26:B26"/>
    <mergeCell ref="C26:J26"/>
    <mergeCell ref="K26:BQ26"/>
    <mergeCell ref="BR26:BS26"/>
    <mergeCell ref="A27:B27"/>
    <mergeCell ref="C27:J27"/>
    <mergeCell ref="K27:BQ27"/>
    <mergeCell ref="BR27:BS27"/>
    <mergeCell ref="A28:B28"/>
    <mergeCell ref="C28:J28"/>
    <mergeCell ref="K28:BQ28"/>
    <mergeCell ref="BR28:BS28"/>
    <mergeCell ref="A29:B29"/>
    <mergeCell ref="C29:J29"/>
    <mergeCell ref="K29:BQ29"/>
    <mergeCell ref="BR29:BS29"/>
    <mergeCell ref="A30:B30"/>
    <mergeCell ref="C30:J30"/>
    <mergeCell ref="K30:BQ30"/>
    <mergeCell ref="BR30:BS30"/>
    <mergeCell ref="A31:B31"/>
    <mergeCell ref="C31:J31"/>
    <mergeCell ref="K31:BQ31"/>
    <mergeCell ref="BR31:BS31"/>
    <mergeCell ref="A32:B32"/>
    <mergeCell ref="C32:J32"/>
    <mergeCell ref="K32:BQ32"/>
    <mergeCell ref="BR32:BS32"/>
    <mergeCell ref="A33:B33"/>
    <mergeCell ref="C33:J33"/>
    <mergeCell ref="K33:BQ33"/>
    <mergeCell ref="BR33:BS33"/>
    <mergeCell ref="A34:B34"/>
    <mergeCell ref="C34:J34"/>
    <mergeCell ref="K34:BQ34"/>
    <mergeCell ref="BR34:BS34"/>
    <mergeCell ref="A35:B35"/>
    <mergeCell ref="C35:J35"/>
    <mergeCell ref="K35:BQ35"/>
    <mergeCell ref="BR35:BS35"/>
    <mergeCell ref="A36:B36"/>
    <mergeCell ref="C36:J36"/>
    <mergeCell ref="K36:BQ36"/>
    <mergeCell ref="BR36:BS36"/>
    <mergeCell ref="C19:J21"/>
    <mergeCell ref="C17:J18"/>
    <mergeCell ref="C11:J15"/>
    <mergeCell ref="C9:J10"/>
    <mergeCell ref="C7:J8"/>
  </mergeCells>
  <dataValidations count="3">
    <dataValidation type="list" allowBlank="1" showInputMessage="1" showErrorMessage="1" sqref="E4:I4">
      <formula1>$BW$2:$CA$2</formula1>
    </dataValidation>
    <dataValidation type="list" allowBlank="1" showInputMessage="1" showErrorMessage="1" sqref="AR5:AW6">
      <formula1>$BW$1:$BW$4</formula1>
    </dataValidation>
    <dataValidation type="list" allowBlank="1" showInputMessage="1" showErrorMessage="1" sqref="BR7:BS36">
      <formula1>$BW$1:$BW$3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68"/>
  <sheetViews>
    <sheetView showGridLines="0" tabSelected="1" view="pageBreakPreview" zoomScaleNormal="100" workbookViewId="0">
      <pane ySplit="3" topLeftCell="A4" activePane="bottomLeft" state="frozen"/>
      <selection/>
      <selection pane="bottomLeft" activeCell="B15" sqref="B15"/>
    </sheetView>
  </sheetViews>
  <sheetFormatPr defaultColWidth="10.625" defaultRowHeight="12.6"/>
  <cols>
    <col min="1" max="1" width="5.125" style="1" customWidth="1"/>
    <col min="2" max="2" width="3.33333333333333" style="1" customWidth="1"/>
    <col min="3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8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管理者情報取得API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FN1009_004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42</v>
      </c>
      <c r="BB1" s="7"/>
      <c r="BC1" s="7"/>
      <c r="BD1" s="8"/>
      <c r="BE1" s="9" t="str">
        <f>改訂履歴!O6</f>
        <v>熊</v>
      </c>
      <c r="BF1" s="9"/>
      <c r="BG1" s="9"/>
      <c r="BH1" s="9"/>
      <c r="BI1" s="9"/>
      <c r="BJ1" s="9"/>
      <c r="BK1" s="10"/>
      <c r="BL1" s="6" t="s">
        <v>43</v>
      </c>
      <c r="BM1" s="7"/>
      <c r="BN1" s="7"/>
      <c r="BO1" s="8"/>
      <c r="BP1" s="9">
        <v>45680</v>
      </c>
      <c r="BQ1" s="9"/>
      <c r="BR1" s="9"/>
      <c r="BS1" s="9"/>
      <c r="BT1" s="9"/>
      <c r="BU1" s="9"/>
      <c r="BV1" s="121"/>
      <c r="BW1" s="1" t="s">
        <v>88</v>
      </c>
    </row>
    <row r="2" ht="15" spans="1:78">
      <c r="A2" s="11" t="str">
        <f>AQ1&amp;"_"&amp;X1</f>
        <v>FN1009_004_管理者情報取得API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3" t="s">
        <v>44</v>
      </c>
      <c r="T2" s="3"/>
      <c r="U2" s="3"/>
      <c r="V2" s="3"/>
      <c r="W2" s="3"/>
      <c r="X2" s="11" t="str">
        <f>改訂履歴!X2</f>
        <v>/adminList/getUserInfo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3" t="s">
        <v>46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48</v>
      </c>
      <c r="BB2" s="7"/>
      <c r="BC2" s="7"/>
      <c r="BD2" s="8"/>
      <c r="BE2" s="9"/>
      <c r="BF2" s="9"/>
      <c r="BG2" s="9"/>
      <c r="BH2" s="9"/>
      <c r="BI2" s="9"/>
      <c r="BJ2" s="9"/>
      <c r="BK2" s="9"/>
      <c r="BL2" s="6" t="s">
        <v>49</v>
      </c>
      <c r="BM2" s="7"/>
      <c r="BN2" s="7"/>
      <c r="BO2" s="8"/>
      <c r="BP2" s="9"/>
      <c r="BQ2" s="9"/>
      <c r="BR2" s="9"/>
      <c r="BS2" s="9"/>
      <c r="BT2" s="9"/>
      <c r="BU2" s="9"/>
      <c r="BV2" s="121"/>
      <c r="BW2" s="15" t="s">
        <v>47</v>
      </c>
      <c r="BX2" s="15" t="s">
        <v>89</v>
      </c>
      <c r="BY2" s="15" t="s">
        <v>90</v>
      </c>
      <c r="BZ2" s="15" t="s">
        <v>91</v>
      </c>
    </row>
    <row r="3" spans="1:78">
      <c r="A3" s="16"/>
    </row>
    <row r="4" ht="13.2" spans="1:78">
      <c r="A4" s="92" t="s">
        <v>88</v>
      </c>
      <c r="B4" s="92"/>
      <c r="C4" s="92"/>
      <c r="D4" s="92"/>
      <c r="E4" s="93" t="s">
        <v>47</v>
      </c>
      <c r="F4" s="93"/>
      <c r="G4" s="93"/>
      <c r="H4" s="93"/>
      <c r="I4" s="93"/>
      <c r="J4" s="94" t="s">
        <v>92</v>
      </c>
      <c r="K4" s="95"/>
      <c r="L4" s="95"/>
      <c r="M4" s="95"/>
      <c r="N4" s="95"/>
      <c r="O4" s="95"/>
      <c r="P4" s="122" t="s">
        <v>93</v>
      </c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</row>
    <row r="5" spans="1:78">
      <c r="A5" s="123" t="s">
        <v>94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</row>
    <row r="6" spans="1:78">
      <c r="A6" s="98"/>
      <c r="B6" s="110" t="s">
        <v>95</v>
      </c>
      <c r="C6" s="110"/>
      <c r="D6" s="110"/>
      <c r="E6" s="110"/>
      <c r="F6" s="110"/>
      <c r="G6" s="124" t="s">
        <v>96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5"/>
      <c r="AD6" s="126"/>
      <c r="AE6" s="126"/>
      <c r="AF6" s="126"/>
      <c r="AG6" s="126"/>
      <c r="AH6" s="126"/>
      <c r="AI6" s="126"/>
      <c r="AJ6" s="126"/>
      <c r="AK6" s="127"/>
      <c r="AL6" s="127"/>
      <c r="AM6" s="127"/>
      <c r="AN6" s="127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8"/>
    </row>
    <row r="7" spans="1:78">
      <c r="A7" s="98" t="s">
        <v>50</v>
      </c>
      <c r="B7" s="129" t="s">
        <v>97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1"/>
      <c r="N7" s="132" t="s">
        <v>98</v>
      </c>
      <c r="O7" s="100"/>
      <c r="P7" s="100"/>
      <c r="Q7" s="100"/>
      <c r="R7" s="100"/>
      <c r="S7" s="100"/>
      <c r="T7" s="100"/>
      <c r="U7" s="100"/>
      <c r="V7" s="101"/>
      <c r="W7" s="126" t="s">
        <v>99</v>
      </c>
      <c r="X7" s="126"/>
      <c r="Y7" s="126"/>
      <c r="Z7" s="126"/>
      <c r="AA7" s="126"/>
      <c r="AB7" s="128"/>
      <c r="AC7" s="125" t="s">
        <v>100</v>
      </c>
      <c r="AD7" s="126"/>
      <c r="AE7" s="126"/>
      <c r="AF7" s="128"/>
      <c r="AG7" s="125" t="s">
        <v>101</v>
      </c>
      <c r="AH7" s="126"/>
      <c r="AI7" s="126"/>
      <c r="AJ7" s="128"/>
      <c r="AK7" s="130" t="s">
        <v>102</v>
      </c>
      <c r="AL7" s="130"/>
      <c r="AM7" s="130"/>
      <c r="AN7" s="130"/>
      <c r="AO7" s="129" t="s">
        <v>103</v>
      </c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1"/>
    </row>
    <row r="8" spans="1:78">
      <c r="A8" s="103" t="s">
        <v>96</v>
      </c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5"/>
      <c r="N8" s="133"/>
      <c r="O8" s="134"/>
      <c r="P8" s="134"/>
      <c r="Q8" s="134"/>
      <c r="R8" s="134"/>
      <c r="S8" s="134"/>
      <c r="T8" s="134"/>
      <c r="U8" s="134"/>
      <c r="V8" s="134"/>
      <c r="W8" s="136"/>
      <c r="X8" s="137"/>
      <c r="Y8" s="137"/>
      <c r="Z8" s="137"/>
      <c r="AA8" s="137"/>
      <c r="AB8" s="138"/>
      <c r="AC8" s="136"/>
      <c r="AD8" s="137"/>
      <c r="AE8" s="137"/>
      <c r="AF8" s="138"/>
      <c r="AG8" s="136"/>
      <c r="AH8" s="137"/>
      <c r="AI8" s="137"/>
      <c r="AJ8" s="138"/>
      <c r="AK8" s="139"/>
      <c r="AL8" s="140"/>
      <c r="AM8" s="140"/>
      <c r="AN8" s="141"/>
      <c r="AO8" s="139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1"/>
    </row>
    <row r="9" spans="1:78">
      <c r="A9" s="98"/>
      <c r="B9" s="110" t="s">
        <v>104</v>
      </c>
      <c r="C9" s="110"/>
      <c r="D9" s="110"/>
      <c r="E9" s="110"/>
      <c r="F9" s="110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5"/>
      <c r="AD9" s="126"/>
      <c r="AE9" s="126"/>
      <c r="AF9" s="126"/>
      <c r="AG9" s="126"/>
      <c r="AH9" s="126"/>
      <c r="AI9" s="126"/>
      <c r="AJ9" s="126"/>
      <c r="AK9" s="127"/>
      <c r="AL9" s="127"/>
      <c r="AM9" s="127"/>
      <c r="AN9" s="127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8"/>
    </row>
    <row r="10" spans="1:78">
      <c r="A10" s="98" t="s">
        <v>50</v>
      </c>
      <c r="B10" s="129" t="s">
        <v>97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1"/>
      <c r="N10" s="132" t="s">
        <v>98</v>
      </c>
      <c r="O10" s="100"/>
      <c r="P10" s="100"/>
      <c r="Q10" s="100"/>
      <c r="R10" s="100"/>
      <c r="S10" s="100"/>
      <c r="T10" s="100"/>
      <c r="U10" s="100"/>
      <c r="V10" s="101"/>
      <c r="W10" s="126" t="s">
        <v>99</v>
      </c>
      <c r="X10" s="126"/>
      <c r="Y10" s="126"/>
      <c r="Z10" s="126"/>
      <c r="AA10" s="126"/>
      <c r="AB10" s="128"/>
      <c r="AC10" s="125" t="s">
        <v>100</v>
      </c>
      <c r="AD10" s="126"/>
      <c r="AE10" s="126"/>
      <c r="AF10" s="128"/>
      <c r="AG10" s="125" t="s">
        <v>101</v>
      </c>
      <c r="AH10" s="126"/>
      <c r="AI10" s="126"/>
      <c r="AJ10" s="128"/>
      <c r="AK10" s="130" t="s">
        <v>102</v>
      </c>
      <c r="AL10" s="130"/>
      <c r="AM10" s="130"/>
      <c r="AN10" s="130"/>
      <c r="AO10" s="129" t="s">
        <v>103</v>
      </c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1"/>
    </row>
    <row r="11" customHeight="1" spans="1:78">
      <c r="A11" s="103">
        <v>1</v>
      </c>
      <c r="B11" s="46" t="s">
        <v>105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  <c r="N11" s="46" t="s">
        <v>106</v>
      </c>
      <c r="O11" s="47"/>
      <c r="P11" s="47"/>
      <c r="Q11" s="47"/>
      <c r="R11" s="47"/>
      <c r="S11" s="47"/>
      <c r="T11" s="47"/>
      <c r="U11" s="47"/>
      <c r="V11" s="48"/>
      <c r="W11" s="142" t="s">
        <v>107</v>
      </c>
      <c r="X11" s="142"/>
      <c r="Y11" s="142"/>
      <c r="Z11" s="142"/>
      <c r="AA11" s="142"/>
      <c r="AB11" s="142"/>
      <c r="AC11" s="143" t="s">
        <v>108</v>
      </c>
      <c r="AD11" s="144"/>
      <c r="AE11" s="144"/>
      <c r="AF11" s="145"/>
      <c r="AG11" s="146">
        <v>10</v>
      </c>
      <c r="AH11" s="147"/>
      <c r="AI11" s="147"/>
      <c r="AJ11" s="148"/>
      <c r="AK11" s="149"/>
      <c r="AL11" s="150"/>
      <c r="AM11" s="150"/>
      <c r="AN11" s="151"/>
      <c r="AO11" s="139" t="s">
        <v>109</v>
      </c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1"/>
    </row>
    <row r="12" customHeight="1" spans="1:78">
      <c r="A12" s="129" t="s">
        <v>110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1"/>
    </row>
    <row r="13" customHeight="1" spans="1:78">
      <c r="A13" s="111"/>
      <c r="B13" s="60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15"/>
    </row>
    <row r="14" ht="12" customHeight="1" spans="1:78">
      <c r="A14" s="111"/>
      <c r="B14" s="60" t="s">
        <v>111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5"/>
    </row>
    <row r="15" ht="12" customHeight="1" spans="1:78">
      <c r="A15" s="111"/>
      <c r="B15" s="60" t="s">
        <v>112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5"/>
    </row>
    <row r="16" ht="12" customHeight="1" spans="1:78">
      <c r="A16" s="111"/>
      <c r="B16" s="60" t="s">
        <v>113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5"/>
    </row>
    <row r="17" spans="1:61">
      <c r="A17" s="111"/>
      <c r="B17" s="60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5"/>
    </row>
    <row r="18" spans="1:61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20"/>
    </row>
    <row r="19" spans="1:61">
      <c r="A19" s="97" t="s">
        <v>114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</row>
    <row r="20" spans="1:61">
      <c r="A20" s="98" t="s">
        <v>50</v>
      </c>
      <c r="B20" s="129" t="s">
        <v>115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1"/>
      <c r="N20" s="132" t="s">
        <v>116</v>
      </c>
      <c r="O20" s="100"/>
      <c r="P20" s="100"/>
      <c r="Q20" s="100"/>
      <c r="R20" s="100"/>
      <c r="S20" s="100"/>
      <c r="T20" s="100"/>
      <c r="U20" s="100"/>
      <c r="V20" s="101"/>
      <c r="W20" s="126" t="s">
        <v>99</v>
      </c>
      <c r="X20" s="126"/>
      <c r="Y20" s="126"/>
      <c r="Z20" s="126"/>
      <c r="AA20" s="126"/>
      <c r="AB20" s="128"/>
      <c r="AC20" s="125" t="s">
        <v>100</v>
      </c>
      <c r="AD20" s="126"/>
      <c r="AE20" s="126"/>
      <c r="AF20" s="128"/>
      <c r="AG20" s="125" t="s">
        <v>101</v>
      </c>
      <c r="AH20" s="126"/>
      <c r="AI20" s="126"/>
      <c r="AJ20" s="128"/>
      <c r="AK20" s="130" t="s">
        <v>102</v>
      </c>
      <c r="AL20" s="130"/>
      <c r="AM20" s="130"/>
      <c r="AN20" s="130"/>
      <c r="AO20" s="129" t="s">
        <v>103</v>
      </c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1"/>
    </row>
    <row r="21" spans="1:61">
      <c r="A21" s="103">
        <v>1</v>
      </c>
      <c r="B21" s="133" t="s">
        <v>117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5"/>
      <c r="N21" s="133"/>
      <c r="O21" s="134"/>
      <c r="P21" s="134"/>
      <c r="Q21" s="134"/>
      <c r="R21" s="134"/>
      <c r="S21" s="134"/>
      <c r="T21" s="134"/>
      <c r="U21" s="134"/>
      <c r="V21" s="134"/>
      <c r="W21" s="136"/>
      <c r="X21" s="137"/>
      <c r="Y21" s="137"/>
      <c r="Z21" s="137"/>
      <c r="AA21" s="137"/>
      <c r="AB21" s="138"/>
      <c r="AC21" s="136"/>
      <c r="AD21" s="137"/>
      <c r="AE21" s="137"/>
      <c r="AF21" s="138"/>
      <c r="AG21" s="139"/>
      <c r="AH21" s="140"/>
      <c r="AI21" s="140"/>
      <c r="AJ21" s="141"/>
      <c r="AK21" s="139"/>
      <c r="AL21" s="140"/>
      <c r="AM21" s="140"/>
      <c r="AN21" s="141"/>
      <c r="AO21" s="139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1"/>
    </row>
    <row r="22" spans="1:61">
      <c r="A22" s="103">
        <v>2</v>
      </c>
      <c r="B22" s="133" t="s">
        <v>118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5"/>
      <c r="N22" s="133"/>
      <c r="O22" s="134"/>
      <c r="P22" s="134"/>
      <c r="Q22" s="134"/>
      <c r="R22" s="134"/>
      <c r="S22" s="134"/>
      <c r="T22" s="134"/>
      <c r="U22" s="134"/>
      <c r="V22" s="134"/>
      <c r="W22" s="136"/>
      <c r="X22" s="137"/>
      <c r="Y22" s="137"/>
      <c r="Z22" s="137"/>
      <c r="AA22" s="137"/>
      <c r="AB22" s="138"/>
      <c r="AC22" s="136"/>
      <c r="AD22" s="137"/>
      <c r="AE22" s="137"/>
      <c r="AF22" s="138"/>
      <c r="AG22" s="139"/>
      <c r="AH22" s="140"/>
      <c r="AI22" s="140"/>
      <c r="AJ22" s="141"/>
      <c r="AK22" s="139"/>
      <c r="AL22" s="140"/>
      <c r="AM22" s="140"/>
      <c r="AN22" s="141"/>
      <c r="AO22" s="139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1"/>
    </row>
    <row r="23" spans="1:61">
      <c r="A23" s="98"/>
      <c r="B23" s="102" t="s">
        <v>119</v>
      </c>
      <c r="C23" s="102"/>
      <c r="D23" s="102"/>
      <c r="E23" s="102"/>
      <c r="F23" s="102"/>
      <c r="G23" s="124" t="s">
        <v>120</v>
      </c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5"/>
      <c r="AD23" s="126"/>
      <c r="AE23" s="126"/>
      <c r="AF23" s="126"/>
      <c r="AG23" s="126"/>
      <c r="AH23" s="126"/>
      <c r="AI23" s="126"/>
      <c r="AJ23" s="128"/>
      <c r="AK23" s="129"/>
      <c r="AL23" s="130"/>
      <c r="AM23" s="130"/>
      <c r="AN23" s="131"/>
      <c r="AO23" s="129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1"/>
    </row>
    <row r="24" customHeight="1" spans="1:61">
      <c r="A24" s="155">
        <v>1</v>
      </c>
      <c r="B24" s="156" t="s">
        <v>121</v>
      </c>
      <c r="C24" s="156"/>
      <c r="D24" s="134"/>
      <c r="E24" s="134"/>
      <c r="F24" s="134"/>
      <c r="G24" s="134"/>
      <c r="H24" s="134"/>
      <c r="I24" s="134"/>
      <c r="J24" s="134"/>
      <c r="K24" s="134"/>
      <c r="L24" s="134"/>
      <c r="M24" s="135"/>
      <c r="N24" s="156" t="s">
        <v>122</v>
      </c>
      <c r="O24" s="157"/>
      <c r="P24" s="157"/>
      <c r="Q24" s="157"/>
      <c r="R24" s="157"/>
      <c r="S24" s="157"/>
      <c r="T24" s="157"/>
      <c r="U24" s="157"/>
      <c r="V24" s="157"/>
      <c r="W24" s="142" t="s">
        <v>107</v>
      </c>
      <c r="X24" s="142"/>
      <c r="Y24" s="142"/>
      <c r="Z24" s="142"/>
      <c r="AA24" s="142"/>
      <c r="AB24" s="142"/>
      <c r="AC24" s="46" t="s">
        <v>108</v>
      </c>
      <c r="AD24" s="47"/>
      <c r="AE24" s="47"/>
      <c r="AF24" s="48"/>
      <c r="AG24" s="146">
        <v>2</v>
      </c>
      <c r="AH24" s="147"/>
      <c r="AI24" s="147"/>
      <c r="AJ24" s="148"/>
      <c r="AK24" s="158"/>
      <c r="AL24" s="159"/>
      <c r="AM24" s="159"/>
      <c r="AN24" s="160"/>
      <c r="AO24" s="139" t="s">
        <v>109</v>
      </c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40"/>
      <c r="BI24" s="141"/>
    </row>
    <row r="25" customHeight="1" spans="1:61">
      <c r="A25" s="155">
        <v>2</v>
      </c>
      <c r="B25" s="156" t="s">
        <v>123</v>
      </c>
      <c r="C25" s="156"/>
      <c r="D25" s="134"/>
      <c r="E25" s="134"/>
      <c r="F25" s="134"/>
      <c r="G25" s="134"/>
      <c r="H25" s="134"/>
      <c r="I25" s="134"/>
      <c r="J25" s="134"/>
      <c r="K25" s="134"/>
      <c r="L25" s="134"/>
      <c r="M25" s="135"/>
      <c r="N25" s="156" t="s">
        <v>124</v>
      </c>
      <c r="O25" s="161"/>
      <c r="P25" s="157"/>
      <c r="Q25" s="157"/>
      <c r="R25" s="157"/>
      <c r="S25" s="157"/>
      <c r="T25" s="157"/>
      <c r="U25" s="157"/>
      <c r="V25" s="157"/>
      <c r="W25" s="142" t="s">
        <v>107</v>
      </c>
      <c r="X25" s="142"/>
      <c r="Y25" s="142"/>
      <c r="Z25" s="142"/>
      <c r="AA25" s="142"/>
      <c r="AB25" s="142"/>
      <c r="AC25" s="46" t="s">
        <v>108</v>
      </c>
      <c r="AD25" s="47"/>
      <c r="AE25" s="47"/>
      <c r="AF25" s="48"/>
      <c r="AG25" s="146">
        <v>10</v>
      </c>
      <c r="AH25" s="147"/>
      <c r="AI25" s="147"/>
      <c r="AJ25" s="148"/>
      <c r="AK25" s="158"/>
      <c r="AL25" s="159"/>
      <c r="AM25" s="159"/>
      <c r="AN25" s="160"/>
      <c r="AO25" s="139" t="s">
        <v>109</v>
      </c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1"/>
    </row>
    <row r="26" customHeight="1" spans="1:61">
      <c r="A26" s="155">
        <v>3</v>
      </c>
      <c r="B26" s="162" t="s">
        <v>125</v>
      </c>
      <c r="C26" s="162"/>
      <c r="D26" s="163"/>
      <c r="E26" s="163"/>
      <c r="F26" s="163"/>
      <c r="G26" s="163"/>
      <c r="H26" s="163"/>
      <c r="I26" s="163"/>
      <c r="J26" s="163"/>
      <c r="K26" s="163"/>
      <c r="L26" s="163"/>
      <c r="M26" s="164"/>
      <c r="N26" s="156" t="s">
        <v>126</v>
      </c>
      <c r="O26" s="157"/>
      <c r="P26" s="157"/>
      <c r="Q26" s="157"/>
      <c r="R26" s="157"/>
      <c r="S26" s="157"/>
      <c r="T26" s="157"/>
      <c r="U26" s="157"/>
      <c r="V26" s="157"/>
      <c r="W26" s="142" t="s">
        <v>127</v>
      </c>
      <c r="X26" s="142"/>
      <c r="Y26" s="142"/>
      <c r="Z26" s="142"/>
      <c r="AA26" s="142"/>
      <c r="AB26" s="142"/>
      <c r="AC26" s="46" t="s">
        <v>108</v>
      </c>
      <c r="AD26" s="47"/>
      <c r="AE26" s="47"/>
      <c r="AF26" s="48"/>
      <c r="AG26" s="146">
        <v>50</v>
      </c>
      <c r="AH26" s="147"/>
      <c r="AI26" s="147"/>
      <c r="AJ26" s="148"/>
      <c r="AK26" s="158"/>
      <c r="AL26" s="159"/>
      <c r="AM26" s="159"/>
      <c r="AN26" s="160"/>
      <c r="AO26" s="158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60"/>
    </row>
    <row r="27" customHeight="1" spans="1:61">
      <c r="A27" s="155">
        <v>4</v>
      </c>
      <c r="B27" s="46" t="s">
        <v>128</v>
      </c>
      <c r="C27" s="47"/>
      <c r="D27" s="134"/>
      <c r="E27" s="134"/>
      <c r="F27" s="134"/>
      <c r="G27" s="134"/>
      <c r="H27" s="134"/>
      <c r="I27" s="134"/>
      <c r="J27" s="134"/>
      <c r="K27" s="134"/>
      <c r="L27" s="134"/>
      <c r="M27" s="135"/>
      <c r="N27" s="156" t="s">
        <v>129</v>
      </c>
      <c r="O27" s="157"/>
      <c r="P27" s="157"/>
      <c r="Q27" s="157"/>
      <c r="R27" s="157"/>
      <c r="S27" s="157"/>
      <c r="T27" s="157"/>
      <c r="U27" s="157"/>
      <c r="V27" s="157"/>
      <c r="W27" s="142" t="s">
        <v>107</v>
      </c>
      <c r="X27" s="142"/>
      <c r="Y27" s="142"/>
      <c r="Z27" s="142"/>
      <c r="AA27" s="142"/>
      <c r="AB27" s="142"/>
      <c r="AC27" s="46" t="s">
        <v>108</v>
      </c>
      <c r="AD27" s="47"/>
      <c r="AE27" s="47"/>
      <c r="AF27" s="48"/>
      <c r="AG27" s="146">
        <v>10</v>
      </c>
      <c r="AH27" s="147"/>
      <c r="AI27" s="147"/>
      <c r="AJ27" s="148"/>
      <c r="AK27" s="158"/>
      <c r="AL27" s="159"/>
      <c r="AM27" s="159"/>
      <c r="AN27" s="160"/>
      <c r="AO27" s="139" t="s">
        <v>109</v>
      </c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1"/>
    </row>
    <row r="28" customHeight="1" spans="1:61">
      <c r="A28" s="155">
        <v>5</v>
      </c>
      <c r="B28" s="165" t="s">
        <v>130</v>
      </c>
      <c r="C28" s="165"/>
      <c r="D28" s="166"/>
      <c r="E28" s="166"/>
      <c r="F28" s="166"/>
      <c r="G28" s="166"/>
      <c r="H28" s="166"/>
      <c r="I28" s="166"/>
      <c r="J28" s="166"/>
      <c r="K28" s="166"/>
      <c r="L28" s="166"/>
      <c r="M28" s="167"/>
      <c r="N28" s="156" t="s">
        <v>131</v>
      </c>
      <c r="O28" s="157"/>
      <c r="P28" s="157"/>
      <c r="Q28" s="157"/>
      <c r="R28" s="157"/>
      <c r="S28" s="157"/>
      <c r="T28" s="157"/>
      <c r="U28" s="157"/>
      <c r="V28" s="157"/>
      <c r="W28" s="142" t="s">
        <v>127</v>
      </c>
      <c r="X28" s="142"/>
      <c r="Y28" s="142"/>
      <c r="Z28" s="142"/>
      <c r="AA28" s="142"/>
      <c r="AB28" s="142"/>
      <c r="AC28" s="46" t="s">
        <v>108</v>
      </c>
      <c r="AD28" s="47"/>
      <c r="AE28" s="47"/>
      <c r="AF28" s="48"/>
      <c r="AG28" s="146">
        <v>20</v>
      </c>
      <c r="AH28" s="147"/>
      <c r="AI28" s="147"/>
      <c r="AJ28" s="148"/>
      <c r="AK28" s="158"/>
      <c r="AL28" s="159"/>
      <c r="AM28" s="159"/>
      <c r="AN28" s="160"/>
      <c r="AO28" s="158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60"/>
    </row>
    <row r="29" customHeight="1" spans="1:61">
      <c r="A29" s="155">
        <v>6</v>
      </c>
      <c r="B29" s="156" t="s">
        <v>132</v>
      </c>
      <c r="C29" s="156"/>
      <c r="D29" s="134"/>
      <c r="E29" s="134"/>
      <c r="F29" s="134"/>
      <c r="G29" s="134"/>
      <c r="H29" s="134"/>
      <c r="I29" s="134"/>
      <c r="J29" s="134"/>
      <c r="K29" s="134"/>
      <c r="L29" s="134"/>
      <c r="M29" s="135"/>
      <c r="N29" s="162" t="s">
        <v>133</v>
      </c>
      <c r="O29" s="168"/>
      <c r="P29" s="168"/>
      <c r="Q29" s="168"/>
      <c r="R29" s="168"/>
      <c r="S29" s="168"/>
      <c r="T29" s="168"/>
      <c r="U29" s="168"/>
      <c r="V29" s="168"/>
      <c r="W29" s="142" t="s">
        <v>127</v>
      </c>
      <c r="X29" s="142"/>
      <c r="Y29" s="142"/>
      <c r="Z29" s="142"/>
      <c r="AA29" s="142"/>
      <c r="AB29" s="142"/>
      <c r="AC29" s="46" t="s">
        <v>108</v>
      </c>
      <c r="AD29" s="47"/>
      <c r="AE29" s="47"/>
      <c r="AF29" s="48"/>
      <c r="AG29" s="146">
        <v>20</v>
      </c>
      <c r="AH29" s="147"/>
      <c r="AI29" s="147"/>
      <c r="AJ29" s="148"/>
      <c r="AK29" s="158"/>
      <c r="AL29" s="159"/>
      <c r="AM29" s="159"/>
      <c r="AN29" s="160"/>
      <c r="AO29" s="158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60"/>
    </row>
    <row r="30" customHeight="1" spans="1:61">
      <c r="A30" s="155">
        <v>7</v>
      </c>
      <c r="B30" s="156" t="s">
        <v>134</v>
      </c>
      <c r="C30" s="156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46" t="s">
        <v>135</v>
      </c>
      <c r="O30" s="157"/>
      <c r="P30" s="157"/>
      <c r="Q30" s="157"/>
      <c r="R30" s="157"/>
      <c r="S30" s="157"/>
      <c r="T30" s="157"/>
      <c r="U30" s="157"/>
      <c r="V30" s="169"/>
      <c r="W30" s="142" t="s">
        <v>127</v>
      </c>
      <c r="X30" s="142"/>
      <c r="Y30" s="142"/>
      <c r="Z30" s="142"/>
      <c r="AA30" s="142"/>
      <c r="AB30" s="142"/>
      <c r="AC30" s="46" t="s">
        <v>108</v>
      </c>
      <c r="AD30" s="47"/>
      <c r="AE30" s="47"/>
      <c r="AF30" s="48"/>
      <c r="AG30" s="146">
        <v>10</v>
      </c>
      <c r="AH30" s="147"/>
      <c r="AI30" s="147"/>
      <c r="AJ30" s="148"/>
      <c r="AK30" s="158"/>
      <c r="AL30" s="159"/>
      <c r="AM30" s="159"/>
      <c r="AN30" s="160"/>
      <c r="AO30" s="158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60"/>
    </row>
    <row r="31" customHeight="1" spans="1:61">
      <c r="A31" s="155">
        <v>8</v>
      </c>
      <c r="B31" s="156" t="s">
        <v>136</v>
      </c>
      <c r="C31" s="156"/>
      <c r="D31" s="134"/>
      <c r="E31" s="134"/>
      <c r="F31" s="134"/>
      <c r="G31" s="134"/>
      <c r="H31" s="134"/>
      <c r="I31" s="134"/>
      <c r="J31" s="134"/>
      <c r="K31" s="134"/>
      <c r="L31" s="134"/>
      <c r="M31" s="135"/>
      <c r="N31" s="165" t="s">
        <v>137</v>
      </c>
      <c r="O31" s="161"/>
      <c r="P31" s="161"/>
      <c r="Q31" s="161"/>
      <c r="R31" s="161"/>
      <c r="S31" s="161"/>
      <c r="T31" s="161"/>
      <c r="U31" s="161"/>
      <c r="V31" s="161"/>
      <c r="W31" s="142" t="s">
        <v>127</v>
      </c>
      <c r="X31" s="142"/>
      <c r="Y31" s="142"/>
      <c r="Z31" s="142"/>
      <c r="AA31" s="142"/>
      <c r="AB31" s="142"/>
      <c r="AC31" s="46" t="s">
        <v>108</v>
      </c>
      <c r="AD31" s="47"/>
      <c r="AE31" s="47"/>
      <c r="AF31" s="48"/>
      <c r="AG31" s="146">
        <v>10</v>
      </c>
      <c r="AH31" s="147"/>
      <c r="AI31" s="147"/>
      <c r="AJ31" s="148"/>
      <c r="AK31" s="158"/>
      <c r="AL31" s="159"/>
      <c r="AM31" s="159"/>
      <c r="AN31" s="160"/>
      <c r="AO31" s="158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60"/>
    </row>
    <row r="32" customHeight="1" spans="1:61">
      <c r="A32" s="155">
        <v>9</v>
      </c>
      <c r="B32" s="156" t="s">
        <v>138</v>
      </c>
      <c r="C32" s="156"/>
      <c r="D32" s="134"/>
      <c r="E32" s="134"/>
      <c r="F32" s="134"/>
      <c r="G32" s="134"/>
      <c r="H32" s="134"/>
      <c r="I32" s="134"/>
      <c r="J32" s="134"/>
      <c r="K32" s="134"/>
      <c r="L32" s="134"/>
      <c r="M32" s="135"/>
      <c r="N32" s="156" t="s">
        <v>139</v>
      </c>
      <c r="O32" s="157"/>
      <c r="P32" s="157"/>
      <c r="Q32" s="157"/>
      <c r="R32" s="157"/>
      <c r="S32" s="157"/>
      <c r="T32" s="157"/>
      <c r="U32" s="157"/>
      <c r="V32" s="157"/>
      <c r="W32" s="142" t="s">
        <v>107</v>
      </c>
      <c r="X32" s="142"/>
      <c r="Y32" s="142"/>
      <c r="Z32" s="142"/>
      <c r="AA32" s="142"/>
      <c r="AB32" s="142"/>
      <c r="AC32" s="46" t="s">
        <v>108</v>
      </c>
      <c r="AD32" s="47"/>
      <c r="AE32" s="47"/>
      <c r="AF32" s="48"/>
      <c r="AG32" s="146">
        <v>255</v>
      </c>
      <c r="AH32" s="147"/>
      <c r="AI32" s="147"/>
      <c r="AJ32" s="148"/>
      <c r="AK32" s="158"/>
      <c r="AL32" s="159"/>
      <c r="AM32" s="159"/>
      <c r="AN32" s="160"/>
      <c r="AO32" s="158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60"/>
    </row>
    <row r="33" customHeight="1" spans="1:62">
      <c r="A33" s="155">
        <v>10</v>
      </c>
      <c r="B33" s="46" t="s">
        <v>140</v>
      </c>
      <c r="C33" s="47"/>
      <c r="D33" s="134"/>
      <c r="E33" s="134"/>
      <c r="F33" s="134"/>
      <c r="G33" s="134"/>
      <c r="H33" s="134"/>
      <c r="I33" s="134"/>
      <c r="J33" s="134"/>
      <c r="K33" s="134"/>
      <c r="L33" s="134"/>
      <c r="M33" s="135"/>
      <c r="N33" s="156" t="s">
        <v>141</v>
      </c>
      <c r="O33" s="157"/>
      <c r="P33" s="157"/>
      <c r="Q33" s="157"/>
      <c r="R33" s="157"/>
      <c r="S33" s="157"/>
      <c r="T33" s="157"/>
      <c r="U33" s="157"/>
      <c r="V33" s="157"/>
      <c r="W33" s="142" t="s">
        <v>107</v>
      </c>
      <c r="X33" s="142"/>
      <c r="Y33" s="142"/>
      <c r="Z33" s="142"/>
      <c r="AA33" s="142"/>
      <c r="AB33" s="142"/>
      <c r="AC33" s="46" t="s">
        <v>108</v>
      </c>
      <c r="AD33" s="47"/>
      <c r="AE33" s="47"/>
      <c r="AF33" s="48"/>
      <c r="AG33" s="146">
        <v>20</v>
      </c>
      <c r="AH33" s="147"/>
      <c r="AI33" s="147"/>
      <c r="AJ33" s="148"/>
      <c r="AK33" s="158"/>
      <c r="AL33" s="159"/>
      <c r="AM33" s="159"/>
      <c r="AN33" s="160"/>
      <c r="AO33" s="158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60"/>
    </row>
    <row r="34" customHeight="1" spans="1:62">
      <c r="A34" s="155">
        <v>11</v>
      </c>
      <c r="B34" s="46" t="s">
        <v>142</v>
      </c>
      <c r="C34" s="47"/>
      <c r="D34" s="134"/>
      <c r="E34" s="134"/>
      <c r="F34" s="134"/>
      <c r="G34" s="134"/>
      <c r="H34" s="134"/>
      <c r="I34" s="134"/>
      <c r="J34" s="134"/>
      <c r="K34" s="134"/>
      <c r="L34" s="134"/>
      <c r="M34" s="135"/>
      <c r="N34" s="156" t="s">
        <v>143</v>
      </c>
      <c r="O34" s="157"/>
      <c r="P34" s="157"/>
      <c r="Q34" s="157"/>
      <c r="R34" s="157"/>
      <c r="S34" s="157"/>
      <c r="T34" s="157"/>
      <c r="U34" s="157"/>
      <c r="V34" s="157"/>
      <c r="W34" s="142" t="s">
        <v>107</v>
      </c>
      <c r="X34" s="142"/>
      <c r="Y34" s="142"/>
      <c r="Z34" s="142"/>
      <c r="AA34" s="142"/>
      <c r="AB34" s="142"/>
      <c r="AC34" s="46" t="s">
        <v>108</v>
      </c>
      <c r="AD34" s="47"/>
      <c r="AE34" s="47"/>
      <c r="AF34" s="48"/>
      <c r="AG34" s="146">
        <v>1</v>
      </c>
      <c r="AH34" s="147"/>
      <c r="AI34" s="147"/>
      <c r="AJ34" s="148"/>
      <c r="AK34" s="158"/>
      <c r="AL34" s="159"/>
      <c r="AM34" s="159"/>
      <c r="AN34" s="160"/>
      <c r="AO34" s="139" t="s">
        <v>109</v>
      </c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1"/>
    </row>
    <row r="35" customHeight="1" spans="1:62">
      <c r="A35" s="155">
        <v>12</v>
      </c>
      <c r="B35" s="165" t="s">
        <v>144</v>
      </c>
      <c r="C35" s="165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56" t="s">
        <v>145</v>
      </c>
      <c r="O35" s="157"/>
      <c r="P35" s="157"/>
      <c r="Q35" s="157"/>
      <c r="R35" s="157"/>
      <c r="S35" s="157"/>
      <c r="T35" s="157"/>
      <c r="U35" s="157"/>
      <c r="V35" s="157"/>
      <c r="W35" s="142" t="s">
        <v>107</v>
      </c>
      <c r="X35" s="142"/>
      <c r="Y35" s="142"/>
      <c r="Z35" s="142"/>
      <c r="AA35" s="142"/>
      <c r="AB35" s="142"/>
      <c r="AC35" s="46" t="s">
        <v>108</v>
      </c>
      <c r="AD35" s="47"/>
      <c r="AE35" s="47"/>
      <c r="AF35" s="48"/>
      <c r="AG35" s="146">
        <v>10</v>
      </c>
      <c r="AH35" s="147"/>
      <c r="AI35" s="147"/>
      <c r="AJ35" s="148"/>
      <c r="AK35" s="158"/>
      <c r="AL35" s="159"/>
      <c r="AM35" s="159"/>
      <c r="AN35" s="160"/>
      <c r="AO35" s="139" t="s">
        <v>109</v>
      </c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1"/>
    </row>
    <row r="36" customHeight="1" spans="1:62">
      <c r="A36" s="155">
        <v>13</v>
      </c>
      <c r="B36" s="156" t="s">
        <v>146</v>
      </c>
      <c r="C36" s="156"/>
      <c r="D36" s="134"/>
      <c r="E36" s="134"/>
      <c r="F36" s="134"/>
      <c r="G36" s="134"/>
      <c r="H36" s="134"/>
      <c r="I36" s="134"/>
      <c r="J36" s="134"/>
      <c r="K36" s="134"/>
      <c r="L36" s="134"/>
      <c r="M36" s="135"/>
      <c r="N36" s="156" t="s">
        <v>147</v>
      </c>
      <c r="O36" s="157"/>
      <c r="P36" s="157"/>
      <c r="Q36" s="157"/>
      <c r="R36" s="157"/>
      <c r="S36" s="157"/>
      <c r="T36" s="157"/>
      <c r="U36" s="157"/>
      <c r="V36" s="157"/>
      <c r="W36" s="142" t="s">
        <v>107</v>
      </c>
      <c r="X36" s="142"/>
      <c r="Y36" s="142"/>
      <c r="Z36" s="142"/>
      <c r="AA36" s="142"/>
      <c r="AB36" s="142"/>
      <c r="AC36" s="46" t="s">
        <v>108</v>
      </c>
      <c r="AD36" s="47"/>
      <c r="AE36" s="47"/>
      <c r="AF36" s="48"/>
      <c r="AG36" s="146">
        <v>255</v>
      </c>
      <c r="AH36" s="147"/>
      <c r="AI36" s="147"/>
      <c r="AJ36" s="148"/>
      <c r="AK36" s="158"/>
      <c r="AL36" s="159"/>
      <c r="AM36" s="159"/>
      <c r="AN36" s="160"/>
      <c r="AO36" s="158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60"/>
    </row>
    <row r="37" customHeight="1" spans="1:62">
      <c r="A37" s="155">
        <v>14</v>
      </c>
      <c r="B37" s="156" t="s">
        <v>148</v>
      </c>
      <c r="C37" s="156"/>
      <c r="D37" s="134"/>
      <c r="E37" s="134"/>
      <c r="F37" s="134"/>
      <c r="G37" s="134"/>
      <c r="H37" s="134"/>
      <c r="I37" s="134"/>
      <c r="J37" s="134"/>
      <c r="K37" s="134"/>
      <c r="L37" s="134"/>
      <c r="M37" s="135"/>
      <c r="N37" s="156" t="s">
        <v>149</v>
      </c>
      <c r="O37" s="157"/>
      <c r="P37" s="157"/>
      <c r="Q37" s="157"/>
      <c r="R37" s="157"/>
      <c r="S37" s="157"/>
      <c r="T37" s="157"/>
      <c r="U37" s="157"/>
      <c r="V37" s="157"/>
      <c r="W37" s="142" t="s">
        <v>107</v>
      </c>
      <c r="X37" s="142"/>
      <c r="Y37" s="142"/>
      <c r="Z37" s="142"/>
      <c r="AA37" s="142"/>
      <c r="AB37" s="142"/>
      <c r="AC37" s="46" t="s">
        <v>108</v>
      </c>
      <c r="AD37" s="47"/>
      <c r="AE37" s="47"/>
      <c r="AF37" s="48"/>
      <c r="AG37" s="146">
        <v>1</v>
      </c>
      <c r="AH37" s="147"/>
      <c r="AI37" s="147"/>
      <c r="AJ37" s="148"/>
      <c r="AK37" s="158"/>
      <c r="AL37" s="159"/>
      <c r="AM37" s="159"/>
      <c r="AN37" s="160"/>
      <c r="AO37" s="139" t="s">
        <v>109</v>
      </c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1"/>
    </row>
    <row r="38" customHeight="1" spans="1:62">
      <c r="A38" s="155">
        <v>15</v>
      </c>
      <c r="B38" s="156" t="s">
        <v>150</v>
      </c>
      <c r="C38" s="156"/>
      <c r="D38" s="134"/>
      <c r="E38" s="134"/>
      <c r="F38" s="134"/>
      <c r="G38" s="134"/>
      <c r="H38" s="134"/>
      <c r="I38" s="134"/>
      <c r="J38" s="134"/>
      <c r="K38" s="134"/>
      <c r="L38" s="134"/>
      <c r="M38" s="135"/>
      <c r="N38" s="156" t="s">
        <v>151</v>
      </c>
      <c r="O38" s="157"/>
      <c r="P38" s="157"/>
      <c r="Q38" s="157"/>
      <c r="R38" s="157"/>
      <c r="S38" s="157"/>
      <c r="T38" s="157"/>
      <c r="U38" s="157"/>
      <c r="V38" s="157"/>
      <c r="W38" s="142" t="s">
        <v>107</v>
      </c>
      <c r="X38" s="142"/>
      <c r="Y38" s="142"/>
      <c r="Z38" s="142"/>
      <c r="AA38" s="142"/>
      <c r="AB38" s="142"/>
      <c r="AC38" s="46" t="s">
        <v>108</v>
      </c>
      <c r="AD38" s="47"/>
      <c r="AE38" s="47"/>
      <c r="AF38" s="48"/>
      <c r="AG38" s="146">
        <v>11</v>
      </c>
      <c r="AH38" s="147"/>
      <c r="AI38" s="147"/>
      <c r="AJ38" s="148"/>
      <c r="AK38" s="158"/>
      <c r="AL38" s="159"/>
      <c r="AM38" s="159"/>
      <c r="AN38" s="160"/>
      <c r="AO38" s="139" t="s">
        <v>109</v>
      </c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1"/>
    </row>
    <row r="39" spans="1:62">
      <c r="A39" s="129" t="s">
        <v>110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1"/>
    </row>
    <row r="40" spans="1:62">
      <c r="A40" s="170"/>
      <c r="B40" s="171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  <c r="BD40" s="174"/>
      <c r="BE40" s="174"/>
      <c r="BF40" s="174"/>
      <c r="BG40" s="174"/>
      <c r="BH40" s="174"/>
      <c r="BI40" s="175"/>
      <c r="BJ40" s="176"/>
    </row>
    <row r="41" spans="1:62">
      <c r="A41" s="111"/>
      <c r="B41" s="60"/>
      <c r="C41" s="60" t="s">
        <v>111</v>
      </c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5"/>
      <c r="BJ41" s="176"/>
    </row>
    <row r="42" spans="1:62">
      <c r="A42" s="111"/>
      <c r="B42" s="60"/>
      <c r="C42" s="60" t="s">
        <v>152</v>
      </c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5"/>
      <c r="BJ42" s="176"/>
    </row>
    <row r="43" spans="1:62">
      <c r="A43" s="111"/>
      <c r="B43" s="60"/>
      <c r="C43" s="60" t="s">
        <v>153</v>
      </c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5"/>
      <c r="BJ43" s="176"/>
    </row>
    <row r="44" spans="1:62">
      <c r="A44" s="111"/>
      <c r="B44" s="60"/>
      <c r="C44" s="60" t="s">
        <v>154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  <c r="AY44" s="114"/>
      <c r="AZ44" s="114"/>
      <c r="BA44" s="114"/>
      <c r="BB44" s="114"/>
      <c r="BC44" s="114"/>
      <c r="BD44" s="114"/>
      <c r="BE44" s="114"/>
      <c r="BF44" s="114"/>
      <c r="BG44" s="114"/>
      <c r="BH44" s="114"/>
      <c r="BI44" s="115"/>
      <c r="BJ44" s="176"/>
    </row>
    <row r="45" spans="1:62">
      <c r="A45" s="111"/>
      <c r="B45" s="60"/>
      <c r="C45" s="60" t="s">
        <v>155</v>
      </c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5"/>
      <c r="BJ45" s="176"/>
    </row>
    <row r="46" spans="1:62">
      <c r="A46" s="111"/>
      <c r="B46" s="60"/>
      <c r="C46" s="60" t="s">
        <v>156</v>
      </c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5"/>
      <c r="BJ46" s="176"/>
    </row>
    <row r="47" spans="1:62">
      <c r="A47" s="111"/>
      <c r="B47" s="60"/>
      <c r="C47" s="60" t="s">
        <v>157</v>
      </c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14"/>
      <c r="BF47" s="114"/>
      <c r="BG47" s="114"/>
      <c r="BH47" s="114"/>
      <c r="BI47" s="115"/>
      <c r="BJ47" s="176"/>
    </row>
    <row r="48" spans="1:62">
      <c r="A48" s="111"/>
      <c r="B48" s="60"/>
      <c r="C48" s="60" t="s">
        <v>158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5"/>
      <c r="BJ48" s="176"/>
    </row>
    <row r="49" spans="1:62">
      <c r="A49" s="111"/>
      <c r="B49" s="60"/>
      <c r="C49" s="60" t="s">
        <v>159</v>
      </c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5"/>
      <c r="BJ49" s="176"/>
    </row>
    <row r="50" spans="1:62">
      <c r="A50" s="111"/>
      <c r="B50" s="60"/>
      <c r="C50" s="60" t="s">
        <v>160</v>
      </c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  <c r="BC50" s="114"/>
      <c r="BD50" s="114"/>
      <c r="BE50" s="114"/>
      <c r="BF50" s="114"/>
      <c r="BG50" s="114"/>
      <c r="BH50" s="114"/>
      <c r="BI50" s="115"/>
      <c r="BJ50" s="176"/>
    </row>
    <row r="51" spans="1:62">
      <c r="A51" s="111"/>
      <c r="B51" s="60"/>
      <c r="C51" s="60" t="s">
        <v>161</v>
      </c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5"/>
      <c r="BJ51" s="176"/>
    </row>
    <row r="52" spans="1:62">
      <c r="A52" s="111"/>
      <c r="B52" s="60"/>
      <c r="C52" s="60" t="s">
        <v>162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14"/>
      <c r="BG52" s="114"/>
      <c r="BH52" s="114"/>
      <c r="BI52" s="115"/>
      <c r="BJ52" s="176"/>
    </row>
    <row r="53" spans="1:62">
      <c r="A53" s="111"/>
      <c r="B53" s="60"/>
      <c r="C53" s="60" t="s">
        <v>163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4"/>
      <c r="BF53" s="114"/>
      <c r="BG53" s="114"/>
      <c r="BH53" s="114"/>
      <c r="BI53" s="115"/>
      <c r="BJ53" s="176"/>
    </row>
    <row r="54" spans="1:62">
      <c r="A54" s="111"/>
      <c r="B54" s="60"/>
      <c r="C54" s="60" t="s">
        <v>164</v>
      </c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  <c r="AZ54" s="114"/>
      <c r="BA54" s="114"/>
      <c r="BB54" s="114"/>
      <c r="BC54" s="114"/>
      <c r="BD54" s="114"/>
      <c r="BE54" s="114"/>
      <c r="BF54" s="114"/>
      <c r="BG54" s="114"/>
      <c r="BH54" s="114"/>
      <c r="BI54" s="115"/>
      <c r="BJ54" s="176"/>
    </row>
    <row r="55" spans="1:62">
      <c r="A55" s="111"/>
      <c r="B55" s="60"/>
      <c r="C55" s="60" t="s">
        <v>165</v>
      </c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5"/>
      <c r="BJ55" s="176"/>
    </row>
    <row r="56" spans="1:62">
      <c r="A56" s="111"/>
      <c r="B56" s="60"/>
      <c r="C56" s="60" t="s">
        <v>166</v>
      </c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  <c r="BC56" s="114"/>
      <c r="BD56" s="114"/>
      <c r="BE56" s="114"/>
      <c r="BF56" s="114"/>
      <c r="BG56" s="114"/>
      <c r="BH56" s="114"/>
      <c r="BI56" s="115"/>
      <c r="BJ56" s="176"/>
    </row>
    <row r="57" spans="1:62">
      <c r="A57" s="111"/>
      <c r="B57" s="60"/>
      <c r="C57" s="60" t="s">
        <v>167</v>
      </c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4"/>
      <c r="BD57" s="114"/>
      <c r="BE57" s="114"/>
      <c r="BF57" s="114"/>
      <c r="BG57" s="114"/>
      <c r="BH57" s="114"/>
      <c r="BI57" s="115"/>
      <c r="BJ57" s="176"/>
    </row>
    <row r="58" spans="1:62">
      <c r="A58" s="111"/>
      <c r="B58" s="60"/>
      <c r="C58" s="60" t="s">
        <v>168</v>
      </c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4"/>
      <c r="BD58" s="114"/>
      <c r="BE58" s="114"/>
      <c r="BF58" s="114"/>
      <c r="BG58" s="114"/>
      <c r="BH58" s="114"/>
      <c r="BI58" s="115"/>
      <c r="BJ58" s="176"/>
    </row>
    <row r="59" spans="1:62">
      <c r="A59" s="111"/>
      <c r="B59" s="60"/>
      <c r="C59" s="60" t="s">
        <v>169</v>
      </c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4"/>
      <c r="BD59" s="114"/>
      <c r="BE59" s="114"/>
      <c r="BF59" s="114"/>
      <c r="BG59" s="114"/>
      <c r="BH59" s="114"/>
      <c r="BI59" s="115"/>
      <c r="BJ59" s="176"/>
    </row>
    <row r="60" spans="1:62">
      <c r="A60" s="111"/>
      <c r="B60" s="60"/>
      <c r="C60" s="60" t="s">
        <v>170</v>
      </c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4"/>
      <c r="BD60" s="114"/>
      <c r="BE60" s="114"/>
      <c r="BF60" s="114"/>
      <c r="BG60" s="114"/>
      <c r="BH60" s="114"/>
      <c r="BI60" s="115"/>
      <c r="BJ60" s="176"/>
    </row>
    <row r="61" spans="1:62">
      <c r="A61" s="111"/>
      <c r="B61" s="60"/>
      <c r="C61" s="60" t="s">
        <v>171</v>
      </c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  <c r="AZ61" s="114"/>
      <c r="BA61" s="114"/>
      <c r="BB61" s="114"/>
      <c r="BC61" s="114"/>
      <c r="BD61" s="114"/>
      <c r="BE61" s="114"/>
      <c r="BF61" s="114"/>
      <c r="BG61" s="114"/>
      <c r="BH61" s="114"/>
      <c r="BI61" s="115"/>
      <c r="BJ61" s="176"/>
    </row>
    <row r="62" spans="1:62">
      <c r="A62" s="111"/>
      <c r="B62" s="60"/>
      <c r="C62" s="60" t="s">
        <v>172</v>
      </c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4"/>
      <c r="AZ62" s="114"/>
      <c r="BA62" s="114"/>
      <c r="BB62" s="114"/>
      <c r="BC62" s="114"/>
      <c r="BD62" s="114"/>
      <c r="BE62" s="114"/>
      <c r="BF62" s="114"/>
      <c r="BG62" s="114"/>
      <c r="BH62" s="114"/>
      <c r="BI62" s="115"/>
      <c r="BJ62" s="176"/>
    </row>
    <row r="63" spans="1:62">
      <c r="A63" s="111"/>
      <c r="B63" s="60"/>
      <c r="C63" s="60" t="s">
        <v>113</v>
      </c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4"/>
      <c r="AZ63" s="114"/>
      <c r="BA63" s="114"/>
      <c r="BB63" s="114"/>
      <c r="BC63" s="114"/>
      <c r="BD63" s="114"/>
      <c r="BE63" s="114"/>
      <c r="BF63" s="114"/>
      <c r="BG63" s="114"/>
      <c r="BH63" s="114"/>
      <c r="BI63" s="115"/>
      <c r="BJ63" s="176"/>
    </row>
    <row r="64" spans="1:62">
      <c r="A64" s="111"/>
      <c r="B64" s="60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15"/>
      <c r="BJ64" s="176"/>
    </row>
    <row r="65" spans="1:61">
      <c r="A65" s="67"/>
      <c r="B65" s="177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9"/>
    </row>
    <row r="66" spans="1:61">
      <c r="B66" s="60"/>
    </row>
    <row r="67" spans="1:61">
      <c r="B67" s="60"/>
    </row>
    <row r="68" spans="1:61">
      <c r="B68" s="60"/>
    </row>
  </sheetData>
  <mergeCells count="177">
    <mergeCell ref="A1:R1"/>
    <mergeCell ref="S1:W1"/>
    <mergeCell ref="X1:AK1"/>
    <mergeCell ref="AL1:AP1"/>
    <mergeCell ref="AQ1:AZ1"/>
    <mergeCell ref="BA1:BD1"/>
    <mergeCell ref="BE1:BK1"/>
    <mergeCell ref="BL1:BO1"/>
    <mergeCell ref="BP1:BU1"/>
    <mergeCell ref="A2:R2"/>
    <mergeCell ref="S2:W2"/>
    <mergeCell ref="X2:AK2"/>
    <mergeCell ref="AL2:AP2"/>
    <mergeCell ref="AQ2:AZ2"/>
    <mergeCell ref="BA2:BD2"/>
    <mergeCell ref="BE2:BK2"/>
    <mergeCell ref="BL2:BO2"/>
    <mergeCell ref="BP2:BU2"/>
    <mergeCell ref="A4:D4"/>
    <mergeCell ref="E4:I4"/>
    <mergeCell ref="J4:O4"/>
    <mergeCell ref="P4:BI4"/>
    <mergeCell ref="A5:BI5"/>
    <mergeCell ref="B6:F6"/>
    <mergeCell ref="G6:AB6"/>
    <mergeCell ref="AC6:BI6"/>
    <mergeCell ref="B7:M7"/>
    <mergeCell ref="N7:V7"/>
    <mergeCell ref="W7:AB7"/>
    <mergeCell ref="AC7:AF7"/>
    <mergeCell ref="AG7:AJ7"/>
    <mergeCell ref="AK7:AN7"/>
    <mergeCell ref="AO7:BI7"/>
    <mergeCell ref="B8:M8"/>
    <mergeCell ref="N8:V8"/>
    <mergeCell ref="W8:AB8"/>
    <mergeCell ref="AC8:AF8"/>
    <mergeCell ref="AG8:AJ8"/>
    <mergeCell ref="AK8:AN8"/>
    <mergeCell ref="AO8:BI8"/>
    <mergeCell ref="B9:F9"/>
    <mergeCell ref="G9:AB9"/>
    <mergeCell ref="AC9:BI9"/>
    <mergeCell ref="B10:M10"/>
    <mergeCell ref="N10:V10"/>
    <mergeCell ref="W10:AB10"/>
    <mergeCell ref="AC10:AF10"/>
    <mergeCell ref="AG10:AJ10"/>
    <mergeCell ref="AK10:AN10"/>
    <mergeCell ref="AO10:BI10"/>
    <mergeCell ref="B11:M11"/>
    <mergeCell ref="N11:V11"/>
    <mergeCell ref="W11:AB11"/>
    <mergeCell ref="AC11:AF11"/>
    <mergeCell ref="AG11:AJ11"/>
    <mergeCell ref="AK11:AN11"/>
    <mergeCell ref="AO11:BI11"/>
    <mergeCell ref="A12:BI12"/>
    <mergeCell ref="AC13:AJ13"/>
    <mergeCell ref="AK13:AN13"/>
    <mergeCell ref="AO13:BI13"/>
    <mergeCell ref="AC18:AJ18"/>
    <mergeCell ref="AK18:AN18"/>
    <mergeCell ref="AO18:BI18"/>
    <mergeCell ref="A19:BI19"/>
    <mergeCell ref="B20:M20"/>
    <mergeCell ref="N20:V20"/>
    <mergeCell ref="W20:AB20"/>
    <mergeCell ref="AC20:AF20"/>
    <mergeCell ref="AG20:AJ20"/>
    <mergeCell ref="AK20:AN20"/>
    <mergeCell ref="AO20:BI20"/>
    <mergeCell ref="B21:M21"/>
    <mergeCell ref="N21:V21"/>
    <mergeCell ref="W21:AB21"/>
    <mergeCell ref="AC21:AF21"/>
    <mergeCell ref="AG21:AJ21"/>
    <mergeCell ref="AK21:AN21"/>
    <mergeCell ref="AO21:BI21"/>
    <mergeCell ref="B22:M22"/>
    <mergeCell ref="N22:V22"/>
    <mergeCell ref="W22:AB22"/>
    <mergeCell ref="AC22:AF22"/>
    <mergeCell ref="AG22:AJ22"/>
    <mergeCell ref="AK22:AN22"/>
    <mergeCell ref="AO22:BI22"/>
    <mergeCell ref="B23:F23"/>
    <mergeCell ref="G23:AB23"/>
    <mergeCell ref="AC23:AJ23"/>
    <mergeCell ref="AK23:AN23"/>
    <mergeCell ref="AO23:BI23"/>
    <mergeCell ref="W24:AB24"/>
    <mergeCell ref="AC24:AF24"/>
    <mergeCell ref="AG24:AJ24"/>
    <mergeCell ref="AO24:BI24"/>
    <mergeCell ref="W25:AB25"/>
    <mergeCell ref="AC25:AF25"/>
    <mergeCell ref="AG25:AJ25"/>
    <mergeCell ref="AO25:BI25"/>
    <mergeCell ref="W26:AB26"/>
    <mergeCell ref="AC26:AF26"/>
    <mergeCell ref="AG26:AJ26"/>
    <mergeCell ref="W27:AB27"/>
    <mergeCell ref="AC27:AF27"/>
    <mergeCell ref="AG27:AJ27"/>
    <mergeCell ref="AO27:BI27"/>
    <mergeCell ref="W28:AB28"/>
    <mergeCell ref="AC28:AF28"/>
    <mergeCell ref="AG28:AJ28"/>
    <mergeCell ref="W29:AB29"/>
    <mergeCell ref="AC29:AF29"/>
    <mergeCell ref="AG29:AJ29"/>
    <mergeCell ref="W30:AB30"/>
    <mergeCell ref="AC30:AF30"/>
    <mergeCell ref="AG30:AJ30"/>
    <mergeCell ref="W31:AB31"/>
    <mergeCell ref="AC31:AF31"/>
    <mergeCell ref="AG31:AJ31"/>
    <mergeCell ref="W32:AB32"/>
    <mergeCell ref="AC32:AF32"/>
    <mergeCell ref="AG32:AJ32"/>
    <mergeCell ref="W33:AB33"/>
    <mergeCell ref="AC33:AF33"/>
    <mergeCell ref="AG33:AJ33"/>
    <mergeCell ref="W34:AB34"/>
    <mergeCell ref="AC34:AF34"/>
    <mergeCell ref="AG34:AJ34"/>
    <mergeCell ref="AO34:BI34"/>
    <mergeCell ref="W35:AB35"/>
    <mergeCell ref="AC35:AF35"/>
    <mergeCell ref="AG35:AJ35"/>
    <mergeCell ref="AO35:BI35"/>
    <mergeCell ref="W36:AB36"/>
    <mergeCell ref="AC36:AF36"/>
    <mergeCell ref="AG36:AJ36"/>
    <mergeCell ref="W37:AB37"/>
    <mergeCell ref="AC37:AF37"/>
    <mergeCell ref="AG37:AJ37"/>
    <mergeCell ref="AO37:BI37"/>
    <mergeCell ref="W38:AB38"/>
    <mergeCell ref="AC38:AF38"/>
    <mergeCell ref="AG38:AJ38"/>
    <mergeCell ref="AO38:BI38"/>
    <mergeCell ref="A39:BI39"/>
    <mergeCell ref="AC40:AJ40"/>
    <mergeCell ref="AK40:AN40"/>
    <mergeCell ref="AO40:BI40"/>
    <mergeCell ref="AC41:AJ41"/>
    <mergeCell ref="AK41:AN41"/>
    <mergeCell ref="AO41:BI41"/>
    <mergeCell ref="AC42:AJ42"/>
    <mergeCell ref="AK42:AN42"/>
    <mergeCell ref="AO42:BI42"/>
    <mergeCell ref="AC43:AJ43"/>
    <mergeCell ref="AK43:AN43"/>
    <mergeCell ref="AO43:BI43"/>
    <mergeCell ref="AC44:AJ44"/>
    <mergeCell ref="AK44:AN44"/>
    <mergeCell ref="AO44:BI44"/>
    <mergeCell ref="AC45:AJ45"/>
    <mergeCell ref="AK45:AN45"/>
    <mergeCell ref="AO45:BI45"/>
    <mergeCell ref="AC46:AJ46"/>
    <mergeCell ref="AK46:AN46"/>
    <mergeCell ref="AO46:BI46"/>
    <mergeCell ref="AC47:AJ47"/>
    <mergeCell ref="AK47:AN47"/>
    <mergeCell ref="AO47:BI47"/>
    <mergeCell ref="AC62:AJ62"/>
    <mergeCell ref="AK62:AN62"/>
    <mergeCell ref="AO62:BI62"/>
    <mergeCell ref="AC63:AJ63"/>
    <mergeCell ref="AK63:AN63"/>
    <mergeCell ref="AO63:BI63"/>
    <mergeCell ref="AC64:AJ64"/>
    <mergeCell ref="AK64:AN64"/>
    <mergeCell ref="AO64:BI64"/>
  </mergeCells>
  <dataValidations count="1">
    <dataValidation type="list" allowBlank="1" showInputMessage="1" showErrorMessage="1" sqref="E4:I4">
      <formula1>$BW$2:$CA$2</formula1>
    </dataValidation>
  </dataValidations>
  <hyperlinks>
    <hyperlink ref="P4" r:id="rId1" display="http://localhost:8088/swagger-ui.html#/admin-list-controller/getUserInfoUsingPOST" tooltip="http://localhost:8088/swagger-ui.html#/admin-list-controller/getUserInfoUsingPOST"/>
  </hyperlink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  <rowBreaks count="2" manualBreakCount="2">
    <brk id="70" max="16383" man="1"/>
    <brk id="7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19"/>
  <sheetViews>
    <sheetView showGridLines="0" view="pageBreakPreview" zoomScaleNormal="100" workbookViewId="0">
      <pane ySplit="3" topLeftCell="A4" activePane="bottomLeft" state="frozen"/>
      <selection/>
      <selection pane="bottomLeft" activeCell="G7" sqref="G7:V7"/>
    </sheetView>
  </sheetViews>
  <sheetFormatPr defaultColWidth="10.625" defaultRowHeight="12.6"/>
  <cols>
    <col min="1" max="1" width="5.125" style="1" customWidth="1"/>
    <col min="2" max="20" width="2.625" style="1" customWidth="1"/>
    <col min="21" max="21" width="3" style="1" customWidth="1"/>
    <col min="22" max="73" width="2.625" style="1" customWidth="1"/>
    <col min="74" max="16383" width="10.625" style="1"/>
  </cols>
  <sheetData>
    <row r="1" ht="15" spans="1:78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管理者情報取得API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FN1009_004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42</v>
      </c>
      <c r="BB1" s="7"/>
      <c r="BC1" s="7"/>
      <c r="BD1" s="8"/>
      <c r="BE1" s="9" t="str">
        <f>改訂履歴!O6</f>
        <v>熊</v>
      </c>
      <c r="BF1" s="9"/>
      <c r="BG1" s="9"/>
      <c r="BH1" s="9"/>
      <c r="BI1" s="9"/>
      <c r="BJ1" s="9"/>
      <c r="BK1" s="10"/>
      <c r="BL1" s="6" t="s">
        <v>43</v>
      </c>
      <c r="BM1" s="7"/>
      <c r="BN1" s="7"/>
      <c r="BO1" s="8"/>
      <c r="BP1" s="9">
        <v>45680</v>
      </c>
      <c r="BQ1" s="9"/>
      <c r="BR1" s="9"/>
      <c r="BS1" s="9"/>
      <c r="BT1" s="9"/>
      <c r="BU1" s="9"/>
      <c r="BW1" s="1" t="s">
        <v>88</v>
      </c>
    </row>
    <row r="2" ht="15" spans="1:78">
      <c r="A2" s="11" t="str">
        <f>AQ1&amp;"_"&amp;X1</f>
        <v>FN1009_004_管理者情報取得API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3" t="s">
        <v>44</v>
      </c>
      <c r="T2" s="3"/>
      <c r="U2" s="3"/>
      <c r="V2" s="3"/>
      <c r="W2" s="3"/>
      <c r="X2" s="11" t="str">
        <f>改訂履歴!X2</f>
        <v>/adminList/getUserInfo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3" t="s">
        <v>46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48</v>
      </c>
      <c r="BB2" s="7"/>
      <c r="BC2" s="7"/>
      <c r="BD2" s="8"/>
      <c r="BE2" s="9"/>
      <c r="BF2" s="9"/>
      <c r="BG2" s="9"/>
      <c r="BH2" s="9"/>
      <c r="BI2" s="9"/>
      <c r="BJ2" s="9"/>
      <c r="BK2" s="9"/>
      <c r="BL2" s="6" t="s">
        <v>49</v>
      </c>
      <c r="BM2" s="7"/>
      <c r="BN2" s="7"/>
      <c r="BO2" s="8"/>
      <c r="BP2" s="9"/>
      <c r="BQ2" s="9"/>
      <c r="BR2" s="9"/>
      <c r="BS2" s="9"/>
      <c r="BT2" s="9"/>
      <c r="BU2" s="9"/>
      <c r="BW2" s="15" t="s">
        <v>47</v>
      </c>
      <c r="BX2" s="15" t="s">
        <v>89</v>
      </c>
      <c r="BY2" s="15" t="s">
        <v>90</v>
      </c>
      <c r="BZ2" s="15" t="s">
        <v>91</v>
      </c>
    </row>
    <row r="3" spans="1:78">
      <c r="A3" s="16"/>
    </row>
    <row r="4" spans="1:78">
      <c r="A4" s="92" t="s">
        <v>88</v>
      </c>
      <c r="B4" s="92"/>
      <c r="C4" s="92"/>
      <c r="D4" s="92"/>
      <c r="E4" s="93" t="str">
        <f>IN.OUTとjson様式!E4</f>
        <v>POST</v>
      </c>
      <c r="F4" s="93"/>
      <c r="G4" s="93"/>
      <c r="H4" s="93"/>
      <c r="I4" s="93"/>
      <c r="J4" s="94" t="s">
        <v>92</v>
      </c>
      <c r="K4" s="95"/>
      <c r="L4" s="95"/>
      <c r="M4" s="95"/>
      <c r="N4" s="95"/>
      <c r="O4" s="95"/>
      <c r="P4" s="96" t="str">
        <f>IN.OUTとjson様式!P4</f>
        <v>http://localhost:8088/swagger-ui.html#/admin-list-controller/getUserInfoUsingPOST</v>
      </c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</row>
    <row r="5" spans="1:78">
      <c r="A5" s="97" t="s">
        <v>114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</row>
    <row r="6" spans="1:78">
      <c r="A6" s="98" t="s">
        <v>50</v>
      </c>
      <c r="B6" s="99" t="s">
        <v>117</v>
      </c>
      <c r="C6" s="99"/>
      <c r="D6" s="99"/>
      <c r="E6" s="99"/>
      <c r="F6" s="99"/>
      <c r="G6" s="100" t="s">
        <v>118</v>
      </c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1"/>
      <c r="W6" s="102" t="s">
        <v>103</v>
      </c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</row>
    <row r="7" spans="1:78">
      <c r="A7" s="103">
        <v>1</v>
      </c>
      <c r="B7" s="104" t="s">
        <v>173</v>
      </c>
      <c r="C7" s="105"/>
      <c r="D7" s="105"/>
      <c r="E7" s="105"/>
      <c r="F7" s="106"/>
      <c r="G7" s="107" t="s">
        <v>174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</row>
    <row r="8" spans="1:78">
      <c r="A8" s="103">
        <v>2</v>
      </c>
      <c r="B8" s="104" t="s">
        <v>175</v>
      </c>
      <c r="C8" s="105"/>
      <c r="D8" s="105"/>
      <c r="E8" s="105"/>
      <c r="F8" s="106"/>
      <c r="G8" s="107" t="s">
        <v>176</v>
      </c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</row>
    <row r="9" spans="1:78">
      <c r="A9" s="103">
        <v>3</v>
      </c>
      <c r="B9" s="104" t="s">
        <v>177</v>
      </c>
      <c r="C9" s="105"/>
      <c r="D9" s="105"/>
      <c r="E9" s="105"/>
      <c r="F9" s="106"/>
      <c r="G9" s="107" t="s">
        <v>178</v>
      </c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</row>
    <row r="10" spans="1:78">
      <c r="A10" s="98"/>
      <c r="B10" s="109" t="s">
        <v>110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10" t="s">
        <v>99</v>
      </c>
      <c r="AD10" s="110"/>
      <c r="AE10" s="110"/>
      <c r="AF10" s="110"/>
      <c r="AG10" s="110"/>
      <c r="AH10" s="110"/>
      <c r="AI10" s="110"/>
      <c r="AJ10" s="110"/>
      <c r="AK10" s="102" t="s">
        <v>103</v>
      </c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</row>
    <row r="11" spans="1:78">
      <c r="A11" s="111"/>
      <c r="B11" s="112" t="s">
        <v>111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5"/>
    </row>
    <row r="12" spans="1:78">
      <c r="A12" s="111"/>
      <c r="B12" s="112" t="s">
        <v>152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5"/>
    </row>
    <row r="13" spans="1:78">
      <c r="A13" s="111"/>
      <c r="B13" s="112" t="s">
        <v>179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5"/>
    </row>
    <row r="14" spans="1:78">
      <c r="A14" s="111"/>
      <c r="B14" s="112" t="s">
        <v>180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5"/>
    </row>
    <row r="15" spans="1:78">
      <c r="A15" s="111"/>
      <c r="B15" s="112" t="s">
        <v>171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5"/>
    </row>
    <row r="16" spans="1:78">
      <c r="A16" s="111"/>
      <c r="B16" s="112" t="s">
        <v>181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5"/>
    </row>
    <row r="17" spans="1:61">
      <c r="A17" s="111"/>
      <c r="B17" s="112" t="s">
        <v>182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5"/>
    </row>
    <row r="18" spans="1:61">
      <c r="A18" s="111"/>
      <c r="B18" s="112" t="s">
        <v>113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5"/>
    </row>
    <row r="19" spans="1:61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20"/>
    </row>
  </sheetData>
  <mergeCells count="56">
    <mergeCell ref="A1:R1"/>
    <mergeCell ref="S1:W1"/>
    <mergeCell ref="X1:AK1"/>
    <mergeCell ref="AL1:AP1"/>
    <mergeCell ref="AQ1:AZ1"/>
    <mergeCell ref="BA1:BD1"/>
    <mergeCell ref="BE1:BK1"/>
    <mergeCell ref="BL1:BO1"/>
    <mergeCell ref="BP1:BU1"/>
    <mergeCell ref="A2:R2"/>
    <mergeCell ref="S2:W2"/>
    <mergeCell ref="X2:AK2"/>
    <mergeCell ref="AL2:AP2"/>
    <mergeCell ref="AQ2:AZ2"/>
    <mergeCell ref="BA2:BD2"/>
    <mergeCell ref="BE2:BK2"/>
    <mergeCell ref="BL2:BO2"/>
    <mergeCell ref="BP2:BU2"/>
    <mergeCell ref="A4:D4"/>
    <mergeCell ref="E4:I4"/>
    <mergeCell ref="J4:O4"/>
    <mergeCell ref="P4:BI4"/>
    <mergeCell ref="A5:BI5"/>
    <mergeCell ref="B6:F6"/>
    <mergeCell ref="G6:V6"/>
    <mergeCell ref="W6:BI6"/>
    <mergeCell ref="B7:F7"/>
    <mergeCell ref="G7:V7"/>
    <mergeCell ref="W7:BI7"/>
    <mergeCell ref="B8:F8"/>
    <mergeCell ref="G8:V8"/>
    <mergeCell ref="W8:BI8"/>
    <mergeCell ref="B9:F9"/>
    <mergeCell ref="G9:V9"/>
    <mergeCell ref="W9:BI9"/>
    <mergeCell ref="B10:AB10"/>
    <mergeCell ref="AC10:AJ10"/>
    <mergeCell ref="AK10:BI10"/>
    <mergeCell ref="AC11:AJ11"/>
    <mergeCell ref="AK11:BI11"/>
    <mergeCell ref="AC12:AJ12"/>
    <mergeCell ref="AK12:BI12"/>
    <mergeCell ref="AC13:AJ13"/>
    <mergeCell ref="AK13:BI13"/>
    <mergeCell ref="AC14:AJ14"/>
    <mergeCell ref="AK14:BI14"/>
    <mergeCell ref="AC15:AJ15"/>
    <mergeCell ref="AK15:BI15"/>
    <mergeCell ref="AC16:AJ16"/>
    <mergeCell ref="AK16:BI16"/>
    <mergeCell ref="AC17:AJ17"/>
    <mergeCell ref="AK17:BI17"/>
    <mergeCell ref="AC18:AJ18"/>
    <mergeCell ref="AK18:BI18"/>
    <mergeCell ref="AC19:AJ19"/>
    <mergeCell ref="AK19:BI19"/>
  </mergeCells>
  <dataValidations count="1">
    <dataValidation type="list" allowBlank="1" showInputMessage="1" showErrorMessage="1" sqref="E4:I4">
      <formula1>$BW$2:$CA$2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24"/>
  <sheetViews>
    <sheetView showGridLines="0" view="pageBreakPreview" zoomScaleNormal="100" workbookViewId="0">
      <pane ySplit="3" topLeftCell="A4" activePane="bottomLeft" state="frozen"/>
      <selection/>
      <selection pane="bottomLeft" activeCell="A17" sqref="$A15:$XFD17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" spans="1:79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管理者情報取得API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FN1009_004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42</v>
      </c>
      <c r="BB1" s="7"/>
      <c r="BC1" s="7"/>
      <c r="BD1" s="8"/>
      <c r="BE1" s="9" t="str">
        <f>改訂履歴!O6</f>
        <v>熊</v>
      </c>
      <c r="BF1" s="9"/>
      <c r="BG1" s="9"/>
      <c r="BH1" s="9"/>
      <c r="BI1" s="9"/>
      <c r="BJ1" s="9"/>
      <c r="BK1" s="10"/>
      <c r="BL1" s="6" t="s">
        <v>43</v>
      </c>
      <c r="BM1" s="7"/>
      <c r="BN1" s="7"/>
      <c r="BO1" s="8"/>
      <c r="BP1" s="9">
        <f>改訂履歴!G6</f>
        <v>45680</v>
      </c>
      <c r="BQ1" s="9"/>
      <c r="BR1" s="9"/>
      <c r="BS1" s="9"/>
      <c r="BT1" s="9"/>
      <c r="BU1" s="9"/>
      <c r="BV1" s="10"/>
    </row>
    <row r="2" ht="15" spans="1:79">
      <c r="A2" s="11" t="str">
        <f>AQ1&amp;"_"&amp;X1</f>
        <v>FN1009_004_管理者情報取得API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3" t="s">
        <v>44</v>
      </c>
      <c r="T2" s="3"/>
      <c r="U2" s="3"/>
      <c r="V2" s="3"/>
      <c r="W2" s="3"/>
      <c r="X2" s="11" t="str">
        <f>改訂履歴!X2</f>
        <v>/adminList/getUserInfo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3" t="s">
        <v>46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48</v>
      </c>
      <c r="BB2" s="7"/>
      <c r="BC2" s="7"/>
      <c r="BD2" s="8"/>
      <c r="BE2" s="9"/>
      <c r="BF2" s="9"/>
      <c r="BG2" s="9"/>
      <c r="BH2" s="9"/>
      <c r="BI2" s="9"/>
      <c r="BJ2" s="9"/>
      <c r="BK2" s="9"/>
      <c r="BL2" s="6" t="s">
        <v>49</v>
      </c>
      <c r="BM2" s="7"/>
      <c r="BN2" s="7"/>
      <c r="BO2" s="8"/>
      <c r="BP2" s="12"/>
      <c r="BQ2" s="13"/>
      <c r="BR2" s="13"/>
      <c r="BS2" s="13"/>
      <c r="BT2" s="13"/>
      <c r="BU2" s="13"/>
      <c r="BV2" s="14"/>
      <c r="BX2" s="15"/>
      <c r="BY2" s="15"/>
      <c r="BZ2" s="15"/>
      <c r="CA2" s="15"/>
    </row>
    <row r="3" spans="1:79">
      <c r="A3" s="16"/>
    </row>
    <row r="4" spans="1:79">
      <c r="A4" s="17"/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</row>
    <row r="5" spans="1:79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</row>
    <row r="6" spans="1:79">
      <c r="A6" s="90" t="s">
        <v>183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</row>
    <row r="7" spans="1:79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</row>
    <row r="8" spans="1:79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</row>
    <row r="9" spans="1:79">
      <c r="A9" s="91" t="s">
        <v>81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</row>
    <row r="10" spans="1:79">
      <c r="A10" s="70" t="s">
        <v>184</v>
      </c>
      <c r="B10" s="70"/>
      <c r="C10" s="70"/>
      <c r="D10" s="70"/>
      <c r="E10" s="70"/>
      <c r="F10" s="53" t="s">
        <v>185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70" t="s">
        <v>186</v>
      </c>
      <c r="AA10" s="70"/>
      <c r="AB10" s="70"/>
      <c r="AC10" s="70"/>
      <c r="AD10" s="70"/>
      <c r="AE10" s="53" t="s">
        <v>187</v>
      </c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</row>
    <row r="11" spans="1:79">
      <c r="A11" s="74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75"/>
    </row>
    <row r="12" ht="12" customHeight="1" spans="1:79">
      <c r="A12" s="74">
        <v>1</v>
      </c>
      <c r="B12" s="63"/>
      <c r="C12" s="63" t="s">
        <v>188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75"/>
    </row>
    <row r="13" spans="1:79">
      <c r="A13" s="74"/>
      <c r="B13" s="63"/>
      <c r="D13" s="63" t="s">
        <v>189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75"/>
    </row>
    <row r="14" spans="1:79">
      <c r="A14" s="74"/>
      <c r="B14" s="63"/>
      <c r="C14" s="63"/>
      <c r="D14" s="63" t="s">
        <v>190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75"/>
    </row>
    <row r="15" s="1" customFormat="1" spans="1:79">
      <c r="A15"/>
      <c r="B15"/>
      <c r="C15"/>
      <c r="D15" s="63" t="s">
        <v>191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/>
      <c r="AM15"/>
      <c r="AN15"/>
      <c r="AO15"/>
      <c r="AP15"/>
      <c r="AQ15"/>
      <c r="AR15"/>
      <c r="AS15"/>
      <c r="BT15" s="77"/>
    </row>
    <row r="16" s="1" customFormat="1" spans="1:79">
      <c r="A16"/>
      <c r="B16"/>
      <c r="C16"/>
      <c r="D16" s="78" t="s">
        <v>192</v>
      </c>
      <c r="E16" s="78"/>
      <c r="F16" s="78"/>
      <c r="G16" s="79" t="s">
        <v>193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8" t="s">
        <v>99</v>
      </c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80" t="s">
        <v>102</v>
      </c>
      <c r="AJ16" s="81"/>
      <c r="AK16" s="81"/>
      <c r="AL16" s="82"/>
      <c r="AM16"/>
      <c r="AN16"/>
      <c r="AO16"/>
      <c r="AP16"/>
      <c r="AQ16"/>
      <c r="AR16"/>
      <c r="AS16"/>
      <c r="BT16" s="77"/>
    </row>
    <row r="17" s="1" customFormat="1" spans="1:75">
      <c r="A17"/>
      <c r="B17"/>
      <c r="C17"/>
      <c r="D17" s="36">
        <v>1</v>
      </c>
      <c r="E17" s="36"/>
      <c r="F17" s="36"/>
      <c r="G17" s="83" t="s">
        <v>105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5"/>
      <c r="X17" s="36" t="s">
        <v>108</v>
      </c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83" t="s">
        <v>59</v>
      </c>
      <c r="AJ17" s="84"/>
      <c r="AK17" s="84"/>
      <c r="AL17" s="85"/>
      <c r="AM17"/>
      <c r="AN17"/>
      <c r="AO17"/>
      <c r="AP17"/>
      <c r="AQ17"/>
      <c r="AR17"/>
      <c r="AS17"/>
      <c r="BT17" s="77"/>
    </row>
    <row r="18" s="1" customFormat="1" spans="1:75">
      <c r="A18"/>
      <c r="B18"/>
      <c r="C18"/>
      <c r="D18" s="1" t="s">
        <v>194</v>
      </c>
      <c r="AL18"/>
      <c r="AM18"/>
      <c r="AN18"/>
      <c r="AO18"/>
      <c r="AP18"/>
      <c r="AQ18"/>
      <c r="AR18"/>
      <c r="AS18"/>
      <c r="BT18" s="77"/>
    </row>
    <row r="19" s="1" customFormat="1" spans="1:75">
      <c r="A19"/>
      <c r="B19"/>
      <c r="C19"/>
      <c r="D19" s="78" t="s">
        <v>99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80" t="s">
        <v>195</v>
      </c>
      <c r="P19" s="81"/>
      <c r="Q19" s="81"/>
      <c r="R19" s="82"/>
      <c r="AL19"/>
      <c r="AM19"/>
      <c r="AN19"/>
      <c r="AO19"/>
      <c r="AP19"/>
      <c r="AQ19"/>
      <c r="AR19"/>
      <c r="AS19"/>
      <c r="BT19" s="77"/>
    </row>
    <row r="20" s="1" customFormat="1" spans="1:75">
      <c r="D20" s="36" t="s">
        <v>196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83" t="s">
        <v>197</v>
      </c>
      <c r="P20" s="84"/>
      <c r="Q20" s="84"/>
      <c r="R20" s="85"/>
      <c r="AM20"/>
      <c r="AN20"/>
      <c r="AO20"/>
      <c r="AP20"/>
      <c r="AQ20"/>
      <c r="AR20"/>
      <c r="AS20"/>
      <c r="BT20" s="77"/>
    </row>
    <row r="21" spans="1:75">
      <c r="A21" s="74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75"/>
      <c r="BU21" s="66"/>
      <c r="BV21" s="66"/>
      <c r="BW21" s="66"/>
    </row>
    <row r="22" spans="1:75">
      <c r="A22" s="74">
        <v>2</v>
      </c>
      <c r="B22" s="63"/>
      <c r="C22" s="63" t="s">
        <v>198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75"/>
      <c r="BU22" s="66"/>
      <c r="BV22" s="66"/>
      <c r="BW22" s="66"/>
    </row>
    <row r="23" spans="1:75">
      <c r="A23" s="74"/>
      <c r="B23" s="63"/>
      <c r="C23" s="63"/>
      <c r="D23" s="63" t="s">
        <v>199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75"/>
      <c r="BU23" s="66"/>
      <c r="BV23" s="66"/>
      <c r="BW23" s="66"/>
    </row>
    <row r="24" spans="1:75">
      <c r="A24" s="86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8"/>
    </row>
  </sheetData>
  <mergeCells count="41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BT5"/>
    <mergeCell ref="A9:BT9"/>
    <mergeCell ref="A10:E10"/>
    <mergeCell ref="F10:Y10"/>
    <mergeCell ref="Z10:AD10"/>
    <mergeCell ref="AE10:BT10"/>
    <mergeCell ref="D16:F16"/>
    <mergeCell ref="G16:W16"/>
    <mergeCell ref="X16:AH16"/>
    <mergeCell ref="AI16:AL16"/>
    <mergeCell ref="D17:F17"/>
    <mergeCell ref="G17:W17"/>
    <mergeCell ref="X17:AH17"/>
    <mergeCell ref="AI17:AL17"/>
    <mergeCell ref="D19:N19"/>
    <mergeCell ref="O19:R19"/>
    <mergeCell ref="D20:N20"/>
    <mergeCell ref="O20:R20"/>
    <mergeCell ref="A6:BT8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15"/>
  <sheetViews>
    <sheetView showGridLines="0" view="pageBreakPreview" zoomScaleNormal="100" workbookViewId="0">
      <pane ySplit="3" topLeftCell="A4" activePane="bottomLeft" state="frozen"/>
      <selection/>
      <selection pane="bottomLeft" activeCell="V14" sqref="V14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.75" customHeight="1" spans="1:79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管理者情報取得API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FN1009_004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42</v>
      </c>
      <c r="BB1" s="7"/>
      <c r="BC1" s="7"/>
      <c r="BD1" s="8"/>
      <c r="BE1" s="9" t="str">
        <f>改訂履歴!O6</f>
        <v>熊</v>
      </c>
      <c r="BF1" s="9"/>
      <c r="BG1" s="9"/>
      <c r="BH1" s="9"/>
      <c r="BI1" s="9"/>
      <c r="BJ1" s="9"/>
      <c r="BK1" s="10"/>
      <c r="BL1" s="6" t="s">
        <v>43</v>
      </c>
      <c r="BM1" s="7"/>
      <c r="BN1" s="7"/>
      <c r="BO1" s="8"/>
      <c r="BP1" s="9">
        <f>改訂履歴!G6</f>
        <v>45680</v>
      </c>
      <c r="BQ1" s="9"/>
      <c r="BR1" s="9"/>
      <c r="BS1" s="9"/>
      <c r="BT1" s="9"/>
      <c r="BU1" s="9"/>
      <c r="BV1" s="10"/>
    </row>
    <row r="2" ht="15.75" customHeight="1" spans="1:79">
      <c r="A2" s="11" t="str">
        <f>AQ1&amp;"_"&amp;X1</f>
        <v>FN1009_004_管理者情報取得API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3" t="s">
        <v>44</v>
      </c>
      <c r="T2" s="3"/>
      <c r="U2" s="3"/>
      <c r="V2" s="3"/>
      <c r="W2" s="3"/>
      <c r="X2" s="11" t="str">
        <f>改訂履歴!X2</f>
        <v>/adminList/getUserInfo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3" t="s">
        <v>46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48</v>
      </c>
      <c r="BB2" s="7"/>
      <c r="BC2" s="7"/>
      <c r="BD2" s="8"/>
      <c r="BE2" s="9"/>
      <c r="BF2" s="9"/>
      <c r="BG2" s="9"/>
      <c r="BH2" s="9"/>
      <c r="BI2" s="9"/>
      <c r="BJ2" s="9"/>
      <c r="BK2" s="9"/>
      <c r="BL2" s="6" t="s">
        <v>49</v>
      </c>
      <c r="BM2" s="7"/>
      <c r="BN2" s="7"/>
      <c r="BO2" s="8"/>
      <c r="BP2" s="12"/>
      <c r="BQ2" s="13"/>
      <c r="BR2" s="13"/>
      <c r="BS2" s="13"/>
      <c r="BT2" s="13"/>
      <c r="BU2" s="13"/>
      <c r="BV2" s="14"/>
      <c r="BX2" s="15"/>
      <c r="BY2" s="15"/>
      <c r="BZ2" s="15"/>
      <c r="CA2" s="15"/>
    </row>
    <row r="3" ht="12" customHeight="1" spans="1:79">
      <c r="A3" s="16"/>
    </row>
    <row r="4" ht="12" customHeight="1" spans="1:79">
      <c r="A4" s="17"/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</row>
    <row r="5" spans="1:79">
      <c r="A5" s="70" t="s">
        <v>200</v>
      </c>
      <c r="B5" s="70"/>
      <c r="C5" s="70"/>
      <c r="D5" s="70"/>
      <c r="E5" s="70"/>
      <c r="F5" s="53" t="s">
        <v>201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70" t="s">
        <v>186</v>
      </c>
      <c r="AA5" s="70"/>
      <c r="AB5" s="70"/>
      <c r="AC5" s="70"/>
      <c r="AD5" s="70"/>
      <c r="AE5" s="24" t="s">
        <v>187</v>
      </c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5"/>
    </row>
    <row r="6" ht="14" customHeight="1" spans="1:79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3"/>
    </row>
    <row r="7" spans="1:79">
      <c r="A7" s="74">
        <v>1</v>
      </c>
      <c r="B7" s="63"/>
      <c r="C7" s="63" t="s">
        <v>188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75"/>
    </row>
    <row r="8" spans="1:79">
      <c r="A8" s="74"/>
      <c r="B8" s="63"/>
      <c r="C8" s="63"/>
      <c r="D8" s="63" t="s">
        <v>202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75"/>
    </row>
    <row r="9" ht="13" customHeight="1" spans="1:79">
      <c r="A9" s="74"/>
      <c r="B9" s="76"/>
      <c r="C9" s="63"/>
      <c r="D9" s="1" t="s">
        <v>203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75"/>
    </row>
    <row r="10" s="1" customFormat="1" spans="1:79">
      <c r="A10"/>
      <c r="B10"/>
      <c r="C10"/>
      <c r="D10" s="63" t="s">
        <v>204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/>
      <c r="AM10"/>
      <c r="AN10"/>
      <c r="AO10"/>
      <c r="AP10"/>
      <c r="AQ10"/>
      <c r="AR10"/>
      <c r="AS10"/>
      <c r="BT10" s="77"/>
    </row>
    <row r="11" s="1" customFormat="1" spans="1:79">
      <c r="A11"/>
      <c r="B11"/>
      <c r="C11"/>
      <c r="D11" s="78" t="s">
        <v>192</v>
      </c>
      <c r="E11" s="78"/>
      <c r="F11" s="78"/>
      <c r="G11" s="79" t="s">
        <v>193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8" t="s">
        <v>99</v>
      </c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80" t="s">
        <v>102</v>
      </c>
      <c r="AJ11" s="81"/>
      <c r="AK11" s="81"/>
      <c r="AL11" s="82"/>
      <c r="AM11"/>
      <c r="AN11"/>
      <c r="AO11"/>
      <c r="AP11"/>
      <c r="AQ11"/>
      <c r="AR11"/>
      <c r="AS11"/>
      <c r="BT11" s="77"/>
    </row>
    <row r="12" s="1" customFormat="1" spans="1:79">
      <c r="A12"/>
      <c r="B12"/>
      <c r="C12"/>
      <c r="D12" s="36">
        <v>1</v>
      </c>
      <c r="E12" s="36"/>
      <c r="F12" s="36"/>
      <c r="G12" s="83" t="s">
        <v>105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5"/>
      <c r="X12" s="36" t="s">
        <v>108</v>
      </c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83" t="s">
        <v>59</v>
      </c>
      <c r="AJ12" s="84"/>
      <c r="AK12" s="84"/>
      <c r="AL12" s="85"/>
      <c r="AM12"/>
      <c r="AN12"/>
      <c r="AO12"/>
      <c r="AP12"/>
      <c r="AQ12"/>
      <c r="AR12"/>
      <c r="AS12"/>
      <c r="BT12" s="77"/>
    </row>
    <row r="13" spans="1:79">
      <c r="A13" s="74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75"/>
      <c r="BU13" s="66"/>
      <c r="BV13" s="66"/>
      <c r="BW13" s="66"/>
    </row>
    <row r="14" spans="1:79">
      <c r="A14" s="74">
        <v>2</v>
      </c>
      <c r="B14" s="63"/>
      <c r="C14" s="63" t="s">
        <v>198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75"/>
      <c r="BU14" s="66"/>
      <c r="BV14" s="66"/>
      <c r="BW14" s="66"/>
    </row>
    <row r="15" spans="1:79">
      <c r="A15" s="86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8"/>
      <c r="BU15" s="66"/>
      <c r="BV15" s="66"/>
      <c r="BW15" s="66"/>
    </row>
  </sheetData>
  <mergeCells count="34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Y5"/>
    <mergeCell ref="Z5:AD5"/>
    <mergeCell ref="AE5:BT5"/>
    <mergeCell ref="D11:F11"/>
    <mergeCell ref="G11:W11"/>
    <mergeCell ref="X11:AH11"/>
    <mergeCell ref="AI11:AL11"/>
    <mergeCell ref="D12:F12"/>
    <mergeCell ref="G12:W12"/>
    <mergeCell ref="X12:AH12"/>
    <mergeCell ref="AI12:AL12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9"/>
  <sheetViews>
    <sheetView showGridLines="0" view="pageBreakPreview" zoomScaleNormal="100" workbookViewId="0">
      <pane ySplit="3" topLeftCell="A10" activePane="bottomLeft" state="frozen"/>
      <selection/>
      <selection pane="bottomLeft" activeCell="Z36" sqref="Z36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8 16384:1638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管理者情報取得API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FN1009_004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42</v>
      </c>
      <c r="BB1" s="7"/>
      <c r="BC1" s="7"/>
      <c r="BD1" s="8"/>
      <c r="BE1" s="9" t="str">
        <f>改訂履歴!O6</f>
        <v>熊</v>
      </c>
      <c r="BF1" s="9"/>
      <c r="BG1" s="9"/>
      <c r="BH1" s="9"/>
      <c r="BI1" s="9"/>
      <c r="BJ1" s="9"/>
      <c r="BK1" s="10"/>
      <c r="BL1" s="6" t="s">
        <v>43</v>
      </c>
      <c r="BM1" s="7"/>
      <c r="BN1" s="7"/>
      <c r="BO1" s="8"/>
      <c r="BP1" s="9">
        <f>改訂履歴!G6</f>
        <v>45680</v>
      </c>
      <c r="BQ1" s="9"/>
      <c r="BR1" s="9"/>
      <c r="BS1" s="9"/>
      <c r="BT1" s="9"/>
      <c r="BU1" s="9"/>
      <c r="BV1" s="10"/>
      <c r="BW1" s="1" t="s">
        <v>205</v>
      </c>
    </row>
    <row r="2" ht="15.75" customHeight="1" spans="1:78 16384:16384">
      <c r="A2" s="11" t="str">
        <f>AQ1&amp;"_"&amp;X1</f>
        <v>FN1009_004_管理者情報取得API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3" t="s">
        <v>44</v>
      </c>
      <c r="T2" s="3"/>
      <c r="U2" s="3"/>
      <c r="V2" s="3"/>
      <c r="W2" s="3"/>
      <c r="X2" s="11" t="str">
        <f>改訂履歴!X2</f>
        <v>/adminList/getUserInfo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3" t="s">
        <v>46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48</v>
      </c>
      <c r="BB2" s="7"/>
      <c r="BC2" s="7"/>
      <c r="BD2" s="8"/>
      <c r="BE2" s="9"/>
      <c r="BF2" s="9"/>
      <c r="BG2" s="9"/>
      <c r="BH2" s="9"/>
      <c r="BI2" s="9"/>
      <c r="BJ2" s="9"/>
      <c r="BK2" s="9"/>
      <c r="BL2" s="6" t="s">
        <v>49</v>
      </c>
      <c r="BM2" s="7"/>
      <c r="BN2" s="7"/>
      <c r="BO2" s="8"/>
      <c r="BP2" s="12"/>
      <c r="BQ2" s="13"/>
      <c r="BR2" s="13"/>
      <c r="BS2" s="13"/>
      <c r="BT2" s="13"/>
      <c r="BU2" s="13"/>
      <c r="BV2" s="14"/>
      <c r="BW2" s="1" t="s">
        <v>206</v>
      </c>
      <c r="BX2" s="15"/>
      <c r="BY2" s="15"/>
      <c r="BZ2" s="15"/>
    </row>
    <row r="3" spans="1:78 16384:16384">
      <c r="A3" s="16"/>
      <c r="BW3" s="1" t="s">
        <v>207</v>
      </c>
    </row>
    <row r="4" spans="1:78 16384:16384">
      <c r="A4" s="17"/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W4" s="1" t="s">
        <v>208</v>
      </c>
    </row>
    <row r="5" spans="1:78 16384:16384">
      <c r="A5" s="20" t="s">
        <v>209</v>
      </c>
      <c r="B5" s="21"/>
      <c r="C5" s="21"/>
      <c r="D5" s="21"/>
      <c r="E5" s="22"/>
      <c r="F5" s="23" t="s">
        <v>210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5"/>
      <c r="W5" s="20" t="s">
        <v>211</v>
      </c>
      <c r="X5" s="21"/>
      <c r="Y5" s="21"/>
      <c r="Z5" s="21"/>
      <c r="AA5" s="22"/>
      <c r="AB5" s="23" t="s">
        <v>212</v>
      </c>
      <c r="AC5" s="24"/>
      <c r="AD5" s="24"/>
      <c r="AE5" s="24"/>
      <c r="AF5" s="24"/>
      <c r="AG5" s="24"/>
      <c r="AH5" s="24"/>
      <c r="AI5" s="24"/>
      <c r="AJ5" s="24"/>
      <c r="AK5" s="24"/>
      <c r="AL5" s="25"/>
      <c r="AM5" s="20" t="s">
        <v>213</v>
      </c>
      <c r="AN5" s="21"/>
      <c r="AO5" s="21"/>
      <c r="AP5" s="21"/>
      <c r="AQ5" s="22"/>
      <c r="AR5" s="23" t="s">
        <v>205</v>
      </c>
      <c r="AS5" s="24"/>
      <c r="AT5" s="24"/>
      <c r="AU5" s="24"/>
      <c r="AV5" s="24"/>
      <c r="AW5" s="25"/>
      <c r="AX5" s="26" t="s">
        <v>214</v>
      </c>
      <c r="AY5" s="26"/>
      <c r="AZ5" s="26"/>
      <c r="BA5" s="26"/>
      <c r="BB5" s="26"/>
      <c r="BC5" s="26"/>
      <c r="BD5" s="27" t="s">
        <v>215</v>
      </c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8"/>
    </row>
    <row r="6" s="1" customFormat="1" spans="1:78 16384:16384">
      <c r="A6" s="26" t="s">
        <v>94</v>
      </c>
      <c r="B6" s="26"/>
      <c r="C6" s="26"/>
      <c r="D6" s="26"/>
      <c r="E6" s="26"/>
      <c r="F6" s="26"/>
      <c r="G6" s="29"/>
      <c r="H6" s="29"/>
      <c r="I6" s="29"/>
      <c r="J6" s="29"/>
      <c r="K6" s="29"/>
      <c r="L6" s="29"/>
      <c r="M6" s="29"/>
      <c r="N6" s="29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2"/>
      <c r="XFD6"/>
    </row>
    <row r="7" s="1" customFormat="1" spans="1:78 16384:16384">
      <c r="A7" s="30" t="s">
        <v>193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0" t="s">
        <v>216</v>
      </c>
      <c r="AI7" s="31"/>
      <c r="AJ7" s="31"/>
      <c r="AK7" s="31"/>
      <c r="AL7" s="31"/>
      <c r="AM7" s="31"/>
      <c r="AN7" s="31"/>
      <c r="AO7" s="31"/>
      <c r="AP7" s="32"/>
      <c r="AQ7" s="30" t="s">
        <v>103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XFD7"/>
    </row>
    <row r="8" s="1" customFormat="1" spans="1:78 16384:16384">
      <c r="A8" s="33" t="s">
        <v>105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5"/>
      <c r="AH8" s="36" t="s">
        <v>217</v>
      </c>
      <c r="AI8" s="36"/>
      <c r="AJ8" s="36"/>
      <c r="AK8" s="36"/>
      <c r="AL8" s="36"/>
      <c r="AM8" s="36"/>
      <c r="AN8" s="36"/>
      <c r="AO8" s="36"/>
      <c r="AP8" s="36"/>
      <c r="AQ8" s="37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9"/>
      <c r="BC8" s="39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5"/>
      <c r="XFD8"/>
    </row>
    <row r="9" customFormat="1" spans="1:78 16384:16384">
      <c r="A9" s="26" t="s">
        <v>218</v>
      </c>
      <c r="B9" s="26"/>
      <c r="C9" s="26"/>
      <c r="D9" s="26"/>
      <c r="E9" s="26"/>
      <c r="F9" s="26"/>
      <c r="G9" s="40" t="s">
        <v>219</v>
      </c>
      <c r="H9" s="41"/>
      <c r="I9" s="41"/>
      <c r="J9" s="41"/>
      <c r="K9" s="41"/>
      <c r="L9" s="41"/>
      <c r="M9" s="41"/>
      <c r="N9" s="42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2"/>
    </row>
    <row r="10" customFormat="1" spans="1:78 16384:16384">
      <c r="A10" s="30" t="s">
        <v>220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2"/>
      <c r="S10" s="30" t="s">
        <v>221</v>
      </c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0" t="s">
        <v>103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2"/>
    </row>
    <row r="11" spans="1:78 16384:16384">
      <c r="A11" s="43" t="s">
        <v>222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  <c r="S11" s="46" t="s">
        <v>105</v>
      </c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8"/>
      <c r="AH11" s="49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8"/>
    </row>
    <row r="12" customFormat="1" spans="1:78 16384:16384">
      <c r="A12" s="43" t="s">
        <v>223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/>
      <c r="S12" s="46" t="s">
        <v>140</v>
      </c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8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</row>
    <row r="13" customFormat="1" spans="1:78 16384:16384">
      <c r="A13" s="43" t="s">
        <v>224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5"/>
      <c r="S13" s="46" t="s">
        <v>225</v>
      </c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8"/>
      <c r="AH13" s="50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2"/>
    </row>
    <row r="14" customFormat="1" spans="1:78 16384:16384">
      <c r="A14" s="43" t="s">
        <v>226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5"/>
      <c r="S14" s="46" t="s">
        <v>125</v>
      </c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8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</row>
    <row r="15" customFormat="1" spans="1:78 16384:16384">
      <c r="A15" s="43" t="s">
        <v>227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6" t="s">
        <v>121</v>
      </c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8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</row>
    <row r="16" customFormat="1" spans="1:78 16384:16384">
      <c r="A16" s="43" t="s">
        <v>228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6" t="s">
        <v>132</v>
      </c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8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</row>
    <row r="17" customFormat="1" spans="1:71">
      <c r="A17" s="43" t="s">
        <v>229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5"/>
      <c r="S17" s="46" t="s">
        <v>130</v>
      </c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8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</row>
    <row r="18" customFormat="1" spans="1:71">
      <c r="A18" s="43" t="s">
        <v>230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  <c r="S18" s="46" t="s">
        <v>136</v>
      </c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8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</row>
    <row r="19" customFormat="1" spans="1:71">
      <c r="A19" s="43" t="s">
        <v>231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5"/>
      <c r="S19" s="46" t="s">
        <v>134</v>
      </c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8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</row>
    <row r="20" customFormat="1" spans="1:71">
      <c r="A20" s="43" t="s">
        <v>232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5"/>
      <c r="S20" s="46" t="s">
        <v>142</v>
      </c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8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</row>
    <row r="21" customFormat="1" spans="1:71">
      <c r="A21" s="43" t="s">
        <v>233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5"/>
      <c r="S21" s="46" t="s">
        <v>128</v>
      </c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8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</row>
    <row r="22" customFormat="1" spans="1:71">
      <c r="A22" s="43" t="s">
        <v>234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5"/>
      <c r="S22" s="46" t="s">
        <v>150</v>
      </c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8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</row>
    <row r="23" customFormat="1" spans="1:71">
      <c r="A23" s="43" t="s">
        <v>235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5"/>
      <c r="S23" s="46" t="s">
        <v>146</v>
      </c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8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</row>
    <row r="24" customFormat="1" spans="1:71">
      <c r="A24" s="43" t="s">
        <v>236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5"/>
      <c r="S24" s="46" t="s">
        <v>138</v>
      </c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8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</row>
    <row r="25" customFormat="1" spans="1:71">
      <c r="A25" s="43" t="s">
        <v>237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5"/>
      <c r="S25" s="46" t="s">
        <v>148</v>
      </c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8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</row>
    <row r="26" customFormat="1" spans="1:71">
      <c r="A26" s="43" t="s">
        <v>238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5"/>
      <c r="S26" s="46" t="s">
        <v>239</v>
      </c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8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</row>
    <row r="27" customFormat="1" spans="1:71">
      <c r="A27" s="43" t="s">
        <v>240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5"/>
      <c r="S27" s="46" t="s">
        <v>241</v>
      </c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8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</row>
    <row r="28" customFormat="1" spans="1:71">
      <c r="A28" s="43" t="s">
        <v>242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  <c r="S28" s="46" t="s">
        <v>243</v>
      </c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8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</row>
    <row r="29" customFormat="1" spans="1:71">
      <c r="A29" s="43" t="s">
        <v>244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 t="s">
        <v>245</v>
      </c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8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</row>
    <row r="30" customFormat="1" spans="1:71">
      <c r="A30" s="43" t="s">
        <v>246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5"/>
      <c r="S30" s="46" t="s">
        <v>247</v>
      </c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8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</row>
    <row r="31" customFormat="1" spans="1:71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6"/>
    </row>
    <row r="32" customFormat="1" spans="1:71">
      <c r="A32" s="57" t="s">
        <v>248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9"/>
    </row>
    <row r="33" customFormat="1" spans="1:74">
      <c r="A33" s="57"/>
      <c r="B33" s="60" t="s">
        <v>237</v>
      </c>
      <c r="D33" s="61"/>
      <c r="E33" s="62"/>
      <c r="F33" s="62"/>
      <c r="G33" s="62"/>
      <c r="H33" s="62"/>
      <c r="I33" s="62"/>
      <c r="J33" s="62"/>
      <c r="K33" s="62"/>
      <c r="L33" s="62"/>
      <c r="N33" s="63" t="s">
        <v>249</v>
      </c>
      <c r="O33" s="64"/>
      <c r="P33" s="63"/>
      <c r="Q33" s="243" t="s">
        <v>250</v>
      </c>
      <c r="R33" s="63"/>
      <c r="S33" s="63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59"/>
    </row>
    <row r="34" customFormat="1" spans="1:74">
      <c r="A34" s="57"/>
      <c r="B34" s="60" t="s">
        <v>238</v>
      </c>
      <c r="C34" s="61"/>
      <c r="D34" s="61"/>
      <c r="E34" s="60"/>
      <c r="F34" s="62"/>
      <c r="G34" s="62"/>
      <c r="H34" s="62"/>
      <c r="I34" s="62"/>
      <c r="J34" s="62"/>
      <c r="K34" s="62"/>
      <c r="L34" s="62"/>
      <c r="M34" s="62"/>
      <c r="N34" s="63" t="s">
        <v>249</v>
      </c>
      <c r="O34" s="64"/>
      <c r="P34" s="63"/>
      <c r="Q34" s="243" t="s">
        <v>251</v>
      </c>
      <c r="R34" s="63"/>
      <c r="S34" s="63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59"/>
    </row>
    <row r="35" customFormat="1" spans="1:74">
      <c r="A35" s="57"/>
      <c r="B35" s="60" t="s">
        <v>222</v>
      </c>
      <c r="C35" s="61"/>
      <c r="D35" s="61"/>
      <c r="E35" s="60"/>
      <c r="F35" s="62"/>
      <c r="G35" s="62"/>
      <c r="H35" s="62"/>
      <c r="I35" s="62"/>
      <c r="J35" s="62"/>
      <c r="K35" s="62"/>
      <c r="L35" s="62"/>
      <c r="M35" s="62"/>
      <c r="N35" s="63" t="s">
        <v>249</v>
      </c>
      <c r="O35" s="62"/>
      <c r="P35" s="62"/>
      <c r="Q35" s="63" t="s">
        <v>105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59"/>
    </row>
    <row r="36" customFormat="1" spans="1:74">
      <c r="A36" s="57"/>
      <c r="B36" s="65"/>
      <c r="C36" s="61"/>
      <c r="D36" s="61"/>
      <c r="E36" s="60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59"/>
    </row>
    <row r="37" customFormat="1" spans="1:74">
      <c r="A37" s="57"/>
      <c r="B37" s="62"/>
      <c r="C37" s="63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59"/>
      <c r="BT37" s="66"/>
      <c r="BU37" s="66"/>
      <c r="BV37" s="66"/>
    </row>
    <row r="38" customFormat="1" spans="1:74">
      <c r="A38" s="57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59"/>
      <c r="BT38" s="66"/>
      <c r="BU38" s="66"/>
      <c r="BV38" s="66"/>
    </row>
    <row r="39" spans="1:74">
      <c r="A39" s="67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9"/>
    </row>
  </sheetData>
  <mergeCells count="104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V5"/>
    <mergeCell ref="W5:AA5"/>
    <mergeCell ref="AB5:AL5"/>
    <mergeCell ref="AM5:AQ5"/>
    <mergeCell ref="AR5:AW5"/>
    <mergeCell ref="AX5:BC5"/>
    <mergeCell ref="BD5:BS5"/>
    <mergeCell ref="A6:F6"/>
    <mergeCell ref="G6:N6"/>
    <mergeCell ref="O6:BS6"/>
    <mergeCell ref="A7:AG7"/>
    <mergeCell ref="AH7:AP7"/>
    <mergeCell ref="AQ7:BS7"/>
    <mergeCell ref="A8:AG8"/>
    <mergeCell ref="AH8:AP8"/>
    <mergeCell ref="A9:F9"/>
    <mergeCell ref="G9:N9"/>
    <mergeCell ref="O9:BS9"/>
    <mergeCell ref="A10:R10"/>
    <mergeCell ref="S10:AG10"/>
    <mergeCell ref="AH10:BS10"/>
    <mergeCell ref="A11:R11"/>
    <mergeCell ref="S11:AG11"/>
    <mergeCell ref="AH11:BS11"/>
    <mergeCell ref="A12:R12"/>
    <mergeCell ref="S12:AG12"/>
    <mergeCell ref="AH12:BS12"/>
    <mergeCell ref="A13:R13"/>
    <mergeCell ref="S13:AG13"/>
    <mergeCell ref="AH13:BS13"/>
    <mergeCell ref="A14:R14"/>
    <mergeCell ref="S14:AG14"/>
    <mergeCell ref="AH14:BS14"/>
    <mergeCell ref="A15:R15"/>
    <mergeCell ref="S15:AG15"/>
    <mergeCell ref="AH15:BS15"/>
    <mergeCell ref="A16:R16"/>
    <mergeCell ref="S16:AG16"/>
    <mergeCell ref="AH16:BS16"/>
    <mergeCell ref="A17:R17"/>
    <mergeCell ref="S17:AG17"/>
    <mergeCell ref="AH17:BS17"/>
    <mergeCell ref="A18:R18"/>
    <mergeCell ref="S18:AG18"/>
    <mergeCell ref="AH18:BS18"/>
    <mergeCell ref="A19:R19"/>
    <mergeCell ref="S19:AG19"/>
    <mergeCell ref="AH19:BS19"/>
    <mergeCell ref="A20:R20"/>
    <mergeCell ref="S20:AG20"/>
    <mergeCell ref="AH20:BS20"/>
    <mergeCell ref="A21:R21"/>
    <mergeCell ref="S21:AG21"/>
    <mergeCell ref="AH21:BS21"/>
    <mergeCell ref="A22:R22"/>
    <mergeCell ref="S22:AG22"/>
    <mergeCell ref="AH22:BS22"/>
    <mergeCell ref="A23:R23"/>
    <mergeCell ref="S23:AG23"/>
    <mergeCell ref="AH23:BS23"/>
    <mergeCell ref="A24:R24"/>
    <mergeCell ref="S24:AG24"/>
    <mergeCell ref="AH24:BS24"/>
    <mergeCell ref="A25:R25"/>
    <mergeCell ref="S25:AG25"/>
    <mergeCell ref="AH25:BS25"/>
    <mergeCell ref="A26:R26"/>
    <mergeCell ref="S26:AG26"/>
    <mergeCell ref="AH26:BS26"/>
    <mergeCell ref="A27:R27"/>
    <mergeCell ref="S27:AG27"/>
    <mergeCell ref="AH27:BS27"/>
    <mergeCell ref="A28:R28"/>
    <mergeCell ref="S28:AG28"/>
    <mergeCell ref="AH28:BS28"/>
    <mergeCell ref="A29:R29"/>
    <mergeCell ref="S29:AG29"/>
    <mergeCell ref="AH29:BS29"/>
    <mergeCell ref="A30:R30"/>
    <mergeCell ref="S30:AG30"/>
    <mergeCell ref="AH30:BS30"/>
  </mergeCells>
  <dataValidations count="2">
    <dataValidation type="list" allowBlank="1" showInputMessage="1" showErrorMessage="1" sqref="E4:I4">
      <formula1>$BW$2:$CA$2</formula1>
    </dataValidation>
    <dataValidation type="list" allowBlank="1" showInputMessage="1" showErrorMessage="1" sqref="AR5:AW6">
      <formula1>$BW$1:$BW$4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���ech�e�^�ech0qQ�N�[a�qQ�N�[a���~�Oo`�Q�[{|�Wh��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6DBFC923-3979-419E-869C-70DF61B2F245}">
  <ds:schemaRefs/>
</ds:datastoreItem>
</file>

<file path=customXml/itemProps3.xml><?xml version="1.0" encoding="utf-8"?>
<ds:datastoreItem xmlns:ds="http://schemas.openxmlformats.org/officeDocument/2006/customXml" ds:itemID="{4469409A-EB42-4FA6-94D2-705DA3597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1)カート情報を追加する「」</vt:lpstr>
      <vt:lpstr>改訂履歴</vt:lpstr>
      <vt:lpstr>チェックリスト</vt:lpstr>
      <vt:lpstr>IN.OUTとjson様式</vt:lpstr>
      <vt:lpstr>異常とエラー</vt:lpstr>
      <vt:lpstr>詳細処理仕様</vt:lpstr>
      <vt:lpstr>参考するサービス</vt:lpstr>
      <vt:lpstr>参考するMapper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compu</cp:lastModifiedBy>
  <dcterms:created xsi:type="dcterms:W3CDTF">2015-11-10T04:43:00Z</dcterms:created>
  <dcterms:modified xsi:type="dcterms:W3CDTF">2026-04-15T08:16:01Z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1041-12.1.0.25242</vt:lpwstr>
  </property>
  <property fmtid="{D5CDD505-2E9C-101B-9397-08002B2CF9AE}" pid="6" name="CalculationRule">
    <vt:i4>0</vt:i4>
  </property>
</Properties>
</file>